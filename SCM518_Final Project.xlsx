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4330740458aa28/Desktop/"/>
    </mc:Choice>
  </mc:AlternateContent>
  <xr:revisionPtr revIDLastSave="5084" documentId="8_{844CFDE9-3BFE-4267-BC6F-95B0F3ED4C56}" xr6:coauthVersionLast="47" xr6:coauthVersionMax="47" xr10:uidLastSave="{5F7C2B8F-6CFA-44B7-938E-00A0B769F800}"/>
  <bookViews>
    <workbookView xWindow="1510" yWindow="585" windowWidth="14415" windowHeight="10585" firstSheet="4" activeTab="5" xr2:uid="{F2006AB8-AEB9-4BCC-A639-04D3734F88F9}"/>
  </bookViews>
  <sheets>
    <sheet name="Price" sheetId="1" r:id="rId1"/>
    <sheet name="Returns" sheetId="2" r:id="rId2"/>
    <sheet name="Model 1" sheetId="3" r:id="rId3"/>
    <sheet name="Model 2" sheetId="4" r:id="rId4"/>
    <sheet name="Model 3" sheetId="5" r:id="rId5"/>
    <sheet name="Model 4" sheetId="6" r:id="rId6"/>
    <sheet name="Model 5" sheetId="7" r:id="rId7"/>
    <sheet name="Blended Portfolio" sheetId="8" r:id="rId8"/>
  </sheets>
  <definedNames>
    <definedName name="solver_adj" localSheetId="2" hidden="1">'Model 1'!$B$4:$I$4</definedName>
    <definedName name="solver_adj" localSheetId="3" hidden="1">'Model 2'!$B$4:$I$4</definedName>
    <definedName name="solver_adj" localSheetId="4" hidden="1">'Model 3'!$B$4:$I$4</definedName>
    <definedName name="solver_adj" localSheetId="5" hidden="1">'Model 4'!$B$5:$I$5</definedName>
    <definedName name="solver_adj" localSheetId="6" hidden="1">'Model 5'!$B$4:$I$4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drv" localSheetId="2" hidden="1">1</definedName>
    <definedName name="solver_drv" localSheetId="3" hidden="1">2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1</definedName>
    <definedName name="solver_eng" localSheetId="6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lhs1" localSheetId="2" hidden="1">'Model 1'!$B$10</definedName>
    <definedName name="solver_lhs1" localSheetId="3" hidden="1">'Model 2'!$B$11</definedName>
    <definedName name="solver_lhs1" localSheetId="4" hidden="1">'Model 3'!$B$11</definedName>
    <definedName name="solver_lhs1" localSheetId="5" hidden="1">'Model 4'!$B$12</definedName>
    <definedName name="solver_lhs1" localSheetId="6" hidden="1">'Model 5'!$B$10</definedName>
    <definedName name="solver_lhs2" localSheetId="2" hidden="1">'Model 1'!$B$11</definedName>
    <definedName name="solver_lhs2" localSheetId="3" hidden="1">'Model 2'!$B$4:$I$4</definedName>
    <definedName name="solver_lhs2" localSheetId="4" hidden="1">'Model 3'!$B$4:$I$4</definedName>
    <definedName name="solver_lhs2" localSheetId="5" hidden="1">'Model 4'!$B$13</definedName>
    <definedName name="solver_lhs2" localSheetId="6" hidden="1">'Model 5'!$B$4:$I$4</definedName>
    <definedName name="solver_lhs3" localSheetId="2" hidden="1">'Model 1'!$B$4:$I$4</definedName>
    <definedName name="solver_lhs3" localSheetId="3" hidden="1">'Model 2'!$B$4:$I$4</definedName>
    <definedName name="solver_lhs3" localSheetId="4" hidden="1">'Model 3'!$B$4:$I$4</definedName>
    <definedName name="solver_lhs3" localSheetId="5" hidden="1">'Model 4'!$B$5:$I$5</definedName>
    <definedName name="solver_lhs3" localSheetId="6" hidden="1">'Model 5'!$B$4:$I$4</definedName>
    <definedName name="solver_lhs4" localSheetId="2" hidden="1">'Model 1'!$B$4:$I$4</definedName>
    <definedName name="solver_lhs4" localSheetId="3" hidden="1">'Model 2'!$B$9</definedName>
    <definedName name="solver_lhs4" localSheetId="5" hidden="1">'Model 4'!$B$5:$I$5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um" localSheetId="2" hidden="1">4</definedName>
    <definedName name="solver_num" localSheetId="3" hidden="1">4</definedName>
    <definedName name="solver_num" localSheetId="4" hidden="1">3</definedName>
    <definedName name="solver_num" localSheetId="5" hidden="1">4</definedName>
    <definedName name="solver_num" localSheetId="6" hidden="1">3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pt" localSheetId="2" hidden="1">'Model 1'!$B$9</definedName>
    <definedName name="solver_opt" localSheetId="3" hidden="1">'Model 2'!$B$10</definedName>
    <definedName name="solver_opt" localSheetId="4" hidden="1">'Model 3'!$B$13</definedName>
    <definedName name="solver_opt" localSheetId="5" hidden="1">'Model 4'!$B$10</definedName>
    <definedName name="solver_opt" localSheetId="6" hidden="1">'Model 5'!$B$12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rbv" localSheetId="2" hidden="1">1</definedName>
    <definedName name="solver_rbv" localSheetId="3" hidden="1">2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el1" localSheetId="2" hidden="1">1</definedName>
    <definedName name="solver_rel1" localSheetId="3" hidden="1">2</definedName>
    <definedName name="solver_rel1" localSheetId="4" hidden="1">2</definedName>
    <definedName name="solver_rel1" localSheetId="5" hidden="1">3</definedName>
    <definedName name="solver_rel1" localSheetId="6" hidden="1">2</definedName>
    <definedName name="solver_rel2" localSheetId="2" hidden="1">2</definedName>
    <definedName name="solver_rel2" localSheetId="3" hidden="1">1</definedName>
    <definedName name="solver_rel2" localSheetId="4" hidden="1">1</definedName>
    <definedName name="solver_rel2" localSheetId="5" hidden="1">2</definedName>
    <definedName name="solver_rel2" localSheetId="6" hidden="1">1</definedName>
    <definedName name="solver_rel3" localSheetId="2" hidden="1">1</definedName>
    <definedName name="solver_rel3" localSheetId="3" hidden="1">3</definedName>
    <definedName name="solver_rel3" localSheetId="4" hidden="1">3</definedName>
    <definedName name="solver_rel3" localSheetId="5" hidden="1">1</definedName>
    <definedName name="solver_rel3" localSheetId="6" hidden="1">3</definedName>
    <definedName name="solver_rel4" localSheetId="2" hidden="1">3</definedName>
    <definedName name="solver_rel4" localSheetId="3" hidden="1">3</definedName>
    <definedName name="solver_rel4" localSheetId="5" hidden="1">3</definedName>
    <definedName name="solver_rhs1" localSheetId="2" hidden="1">'Model 1'!$B$13</definedName>
    <definedName name="solver_rhs1" localSheetId="3" hidden="1">1</definedName>
    <definedName name="solver_rhs1" localSheetId="4" hidden="1">1</definedName>
    <definedName name="solver_rhs1" localSheetId="5" hidden="1">'Model 4'!$B$14</definedName>
    <definedName name="solver_rhs1" localSheetId="6" hidden="1">1</definedName>
    <definedName name="solver_rhs2" localSheetId="2" hidden="1">1</definedName>
    <definedName name="solver_rhs2" localSheetId="3" hidden="1">0.4</definedName>
    <definedName name="solver_rhs2" localSheetId="4" hidden="1">0.4</definedName>
    <definedName name="solver_rhs2" localSheetId="5" hidden="1">1</definedName>
    <definedName name="solver_rhs2" localSheetId="6" hidden="1">0.4</definedName>
    <definedName name="solver_rhs3" localSheetId="2" hidden="1">0.4</definedName>
    <definedName name="solver_rhs3" localSheetId="3" hidden="1">0</definedName>
    <definedName name="solver_rhs3" localSheetId="4" hidden="1">0</definedName>
    <definedName name="solver_rhs3" localSheetId="5" hidden="1">0.4</definedName>
    <definedName name="solver_rhs3" localSheetId="6" hidden="1">0</definedName>
    <definedName name="solver_rhs4" localSheetId="2" hidden="1">0</definedName>
    <definedName name="solver_rhs4" localSheetId="3" hidden="1">'Model 2'!$B$14</definedName>
    <definedName name="solver_rhs4" localSheetId="5" hidden="1">0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scl" localSheetId="2" hidden="1">1</definedName>
    <definedName name="solver_scl" localSheetId="3" hidden="1">2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yp" localSheetId="2" hidden="1">1</definedName>
    <definedName name="solver_typ" localSheetId="3" hidden="1">2</definedName>
    <definedName name="solver_typ" localSheetId="4" hidden="1">1</definedName>
    <definedName name="solver_typ" localSheetId="5" hidden="1">2</definedName>
    <definedName name="solver_typ" localSheetId="6" hidden="1">1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8" l="1"/>
  <c r="F3" i="8"/>
  <c r="F4" i="8"/>
  <c r="F5" i="8"/>
  <c r="F6" i="8"/>
  <c r="F7" i="8"/>
  <c r="F8" i="8"/>
  <c r="F9" i="8"/>
  <c r="F2" i="8"/>
  <c r="E3" i="8"/>
  <c r="E4" i="8"/>
  <c r="E5" i="8"/>
  <c r="E6" i="8"/>
  <c r="E7" i="8"/>
  <c r="E8" i="8"/>
  <c r="E9" i="8"/>
  <c r="E2" i="8"/>
  <c r="D10" i="8"/>
  <c r="D3" i="8"/>
  <c r="D4" i="8"/>
  <c r="D5" i="8"/>
  <c r="D6" i="8"/>
  <c r="D7" i="8"/>
  <c r="D8" i="8"/>
  <c r="D9" i="8"/>
  <c r="D2" i="8"/>
  <c r="C3" i="8"/>
  <c r="C4" i="8"/>
  <c r="C5" i="8"/>
  <c r="C6" i="8"/>
  <c r="C7" i="8"/>
  <c r="C8" i="8"/>
  <c r="C9" i="8"/>
  <c r="C2" i="8"/>
  <c r="B10" i="8"/>
  <c r="M2" i="2"/>
  <c r="B6" i="5" s="1"/>
  <c r="B9" i="5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" i="2"/>
  <c r="B10" i="7"/>
  <c r="B9" i="7"/>
  <c r="I7" i="7"/>
  <c r="H7" i="7"/>
  <c r="G7" i="7"/>
  <c r="F7" i="7"/>
  <c r="E7" i="7"/>
  <c r="D7" i="7"/>
  <c r="C7" i="7"/>
  <c r="B7" i="7"/>
  <c r="A7" i="7"/>
  <c r="I6" i="7"/>
  <c r="H6" i="7"/>
  <c r="G6" i="7"/>
  <c r="F6" i="7"/>
  <c r="E6" i="7"/>
  <c r="D6" i="7"/>
  <c r="C6" i="7"/>
  <c r="B6" i="7"/>
  <c r="A6" i="7"/>
  <c r="B10" i="6" a="1"/>
  <c r="B10" i="6" s="1"/>
  <c r="B11" i="6" s="1"/>
  <c r="B13" i="6"/>
  <c r="I8" i="6"/>
  <c r="H8" i="6"/>
  <c r="G8" i="6"/>
  <c r="F8" i="6"/>
  <c r="E8" i="6"/>
  <c r="D8" i="6"/>
  <c r="C8" i="6"/>
  <c r="B8" i="6"/>
  <c r="A8" i="6"/>
  <c r="I7" i="6"/>
  <c r="H7" i="6"/>
  <c r="G7" i="6"/>
  <c r="F7" i="6"/>
  <c r="E7" i="6"/>
  <c r="D7" i="6"/>
  <c r="C7" i="6"/>
  <c r="B7" i="6"/>
  <c r="B12" i="6" s="1"/>
  <c r="A7" i="6"/>
  <c r="B11" i="5"/>
  <c r="I7" i="5"/>
  <c r="H7" i="5"/>
  <c r="G7" i="5"/>
  <c r="F7" i="5"/>
  <c r="E7" i="5"/>
  <c r="D7" i="5"/>
  <c r="C7" i="5"/>
  <c r="B7" i="5"/>
  <c r="B10" i="5" s="1"/>
  <c r="A7" i="5"/>
  <c r="I6" i="5"/>
  <c r="H6" i="5"/>
  <c r="G6" i="5"/>
  <c r="F6" i="5"/>
  <c r="E6" i="5"/>
  <c r="D6" i="5"/>
  <c r="C6" i="5"/>
  <c r="A6" i="5"/>
  <c r="B11" i="4"/>
  <c r="B10" i="4"/>
  <c r="I7" i="4"/>
  <c r="H7" i="4"/>
  <c r="G7" i="4"/>
  <c r="F7" i="4"/>
  <c r="E7" i="4"/>
  <c r="D7" i="4"/>
  <c r="C7" i="4"/>
  <c r="B7" i="4"/>
  <c r="A7" i="4"/>
  <c r="I6" i="4"/>
  <c r="H6" i="4"/>
  <c r="G6" i="4"/>
  <c r="F6" i="4"/>
  <c r="E6" i="4"/>
  <c r="D6" i="4"/>
  <c r="C6" i="4"/>
  <c r="A6" i="4"/>
  <c r="A7" i="3"/>
  <c r="A6" i="3"/>
  <c r="B11" i="3"/>
  <c r="N8" i="2"/>
  <c r="N7" i="2"/>
  <c r="N6" i="2"/>
  <c r="F7" i="3" s="1"/>
  <c r="I35" i="2"/>
  <c r="C37" i="2"/>
  <c r="D37" i="2"/>
  <c r="N4" i="2" s="1"/>
  <c r="E37" i="2"/>
  <c r="F37" i="2"/>
  <c r="G37" i="2"/>
  <c r="H37" i="2"/>
  <c r="I37" i="2"/>
  <c r="B37" i="2"/>
  <c r="I3" i="2"/>
  <c r="Y9" i="2" s="1"/>
  <c r="I4" i="2"/>
  <c r="N9" i="2" s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6" i="2"/>
  <c r="C3" i="2"/>
  <c r="Z3" i="2" s="1"/>
  <c r="D3" i="2"/>
  <c r="Y4" i="2" s="1"/>
  <c r="E3" i="2"/>
  <c r="Y5" i="2" s="1"/>
  <c r="F3" i="2"/>
  <c r="Y6" i="2" s="1"/>
  <c r="G3" i="2"/>
  <c r="Y7" i="2" s="1"/>
  <c r="H3" i="2"/>
  <c r="Y8" i="2" s="1"/>
  <c r="C4" i="2"/>
  <c r="D4" i="2"/>
  <c r="E4" i="2"/>
  <c r="N5" i="2" s="1"/>
  <c r="F4" i="2"/>
  <c r="S6" i="2" s="1"/>
  <c r="G4" i="2"/>
  <c r="H4" i="2"/>
  <c r="C5" i="2"/>
  <c r="D5" i="2"/>
  <c r="E5" i="2"/>
  <c r="F5" i="2"/>
  <c r="G5" i="2"/>
  <c r="H5" i="2"/>
  <c r="M8" i="2" s="1"/>
  <c r="C6" i="2"/>
  <c r="D6" i="2"/>
  <c r="E6" i="2"/>
  <c r="F6" i="2"/>
  <c r="G6" i="2"/>
  <c r="H6" i="2"/>
  <c r="C7" i="2"/>
  <c r="D7" i="2"/>
  <c r="E7" i="2"/>
  <c r="F7" i="2"/>
  <c r="G7" i="2"/>
  <c r="H7" i="2"/>
  <c r="C8" i="2"/>
  <c r="D8" i="2"/>
  <c r="E8" i="2"/>
  <c r="F8" i="2"/>
  <c r="G8" i="2"/>
  <c r="H8" i="2"/>
  <c r="C9" i="2"/>
  <c r="D9" i="2"/>
  <c r="E9" i="2"/>
  <c r="F9" i="2"/>
  <c r="G9" i="2"/>
  <c r="H9" i="2"/>
  <c r="C10" i="2"/>
  <c r="D10" i="2"/>
  <c r="E10" i="2"/>
  <c r="F10" i="2"/>
  <c r="G10" i="2"/>
  <c r="H10" i="2"/>
  <c r="C11" i="2"/>
  <c r="D11" i="2"/>
  <c r="E11" i="2"/>
  <c r="F11" i="2"/>
  <c r="G11" i="2"/>
  <c r="H11" i="2"/>
  <c r="C12" i="2"/>
  <c r="D12" i="2"/>
  <c r="E12" i="2"/>
  <c r="F12" i="2"/>
  <c r="G12" i="2"/>
  <c r="H12" i="2"/>
  <c r="C13" i="2"/>
  <c r="D13" i="2"/>
  <c r="E13" i="2"/>
  <c r="F13" i="2"/>
  <c r="G13" i="2"/>
  <c r="H13" i="2"/>
  <c r="C14" i="2"/>
  <c r="D14" i="2"/>
  <c r="E14" i="2"/>
  <c r="F14" i="2"/>
  <c r="G14" i="2"/>
  <c r="H14" i="2"/>
  <c r="C15" i="2"/>
  <c r="D15" i="2"/>
  <c r="E15" i="2"/>
  <c r="F15" i="2"/>
  <c r="G15" i="2"/>
  <c r="H15" i="2"/>
  <c r="C16" i="2"/>
  <c r="D16" i="2"/>
  <c r="E16" i="2"/>
  <c r="F16" i="2"/>
  <c r="G16" i="2"/>
  <c r="H16" i="2"/>
  <c r="C17" i="2"/>
  <c r="D17" i="2"/>
  <c r="E17" i="2"/>
  <c r="F17" i="2"/>
  <c r="G17" i="2"/>
  <c r="H17" i="2"/>
  <c r="C18" i="2"/>
  <c r="D18" i="2"/>
  <c r="E18" i="2"/>
  <c r="F18" i="2"/>
  <c r="G18" i="2"/>
  <c r="H18" i="2"/>
  <c r="C19" i="2"/>
  <c r="D19" i="2"/>
  <c r="E19" i="2"/>
  <c r="F19" i="2"/>
  <c r="G19" i="2"/>
  <c r="H19" i="2"/>
  <c r="C20" i="2"/>
  <c r="D20" i="2"/>
  <c r="E20" i="2"/>
  <c r="F20" i="2"/>
  <c r="G20" i="2"/>
  <c r="H20" i="2"/>
  <c r="C21" i="2"/>
  <c r="D21" i="2"/>
  <c r="E21" i="2"/>
  <c r="F21" i="2"/>
  <c r="G21" i="2"/>
  <c r="H21" i="2"/>
  <c r="C22" i="2"/>
  <c r="D22" i="2"/>
  <c r="E22" i="2"/>
  <c r="F22" i="2"/>
  <c r="G22" i="2"/>
  <c r="H22" i="2"/>
  <c r="C23" i="2"/>
  <c r="D23" i="2"/>
  <c r="E23" i="2"/>
  <c r="F23" i="2"/>
  <c r="G23" i="2"/>
  <c r="H23" i="2"/>
  <c r="C24" i="2"/>
  <c r="D24" i="2"/>
  <c r="E24" i="2"/>
  <c r="F24" i="2"/>
  <c r="G24" i="2"/>
  <c r="H24" i="2"/>
  <c r="C25" i="2"/>
  <c r="D25" i="2"/>
  <c r="E25" i="2"/>
  <c r="F25" i="2"/>
  <c r="G25" i="2"/>
  <c r="H25" i="2"/>
  <c r="C26" i="2"/>
  <c r="D26" i="2"/>
  <c r="E26" i="2"/>
  <c r="F26" i="2"/>
  <c r="G26" i="2"/>
  <c r="H26" i="2"/>
  <c r="C27" i="2"/>
  <c r="D27" i="2"/>
  <c r="E27" i="2"/>
  <c r="F27" i="2"/>
  <c r="G27" i="2"/>
  <c r="H27" i="2"/>
  <c r="C28" i="2"/>
  <c r="D28" i="2"/>
  <c r="E28" i="2"/>
  <c r="F28" i="2"/>
  <c r="G28" i="2"/>
  <c r="H28" i="2"/>
  <c r="C29" i="2"/>
  <c r="D29" i="2"/>
  <c r="E29" i="2"/>
  <c r="F29" i="2"/>
  <c r="G29" i="2"/>
  <c r="H29" i="2"/>
  <c r="C30" i="2"/>
  <c r="D30" i="2"/>
  <c r="E30" i="2"/>
  <c r="F30" i="2"/>
  <c r="G30" i="2"/>
  <c r="H30" i="2"/>
  <c r="C31" i="2"/>
  <c r="D31" i="2"/>
  <c r="E31" i="2"/>
  <c r="F31" i="2"/>
  <c r="G31" i="2"/>
  <c r="H31" i="2"/>
  <c r="C32" i="2"/>
  <c r="D32" i="2"/>
  <c r="E32" i="2"/>
  <c r="F32" i="2"/>
  <c r="G32" i="2"/>
  <c r="H32" i="2"/>
  <c r="C33" i="2"/>
  <c r="D33" i="2"/>
  <c r="E33" i="2"/>
  <c r="F33" i="2"/>
  <c r="G33" i="2"/>
  <c r="H33" i="2"/>
  <c r="C34" i="2"/>
  <c r="D34" i="2"/>
  <c r="E34" i="2"/>
  <c r="F34" i="2"/>
  <c r="G34" i="2"/>
  <c r="H34" i="2"/>
  <c r="C35" i="2"/>
  <c r="D35" i="2"/>
  <c r="E35" i="2"/>
  <c r="F35" i="2"/>
  <c r="G35" i="2"/>
  <c r="H35" i="2"/>
  <c r="C36" i="2"/>
  <c r="D36" i="2"/>
  <c r="E36" i="2"/>
  <c r="F36" i="2"/>
  <c r="G36" i="2"/>
  <c r="H36" i="2"/>
  <c r="B4" i="2"/>
  <c r="N2" i="2" s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" i="2"/>
  <c r="Y2" i="2" s="1"/>
  <c r="B6" i="4" l="1"/>
  <c r="B9" i="4" s="1"/>
  <c r="B12" i="7"/>
  <c r="B13" i="5"/>
  <c r="D7" i="3"/>
  <c r="B7" i="3"/>
  <c r="I7" i="3"/>
  <c r="H6" i="3"/>
  <c r="E7" i="3"/>
  <c r="N3" i="2"/>
  <c r="P3" i="2"/>
  <c r="P9" i="2"/>
  <c r="Z2" i="2"/>
  <c r="Z4" i="2"/>
  <c r="Z5" i="2"/>
  <c r="Z6" i="2"/>
  <c r="Z7" i="2"/>
  <c r="Z8" i="2"/>
  <c r="Z9" i="2"/>
  <c r="P5" i="2"/>
  <c r="P7" i="2"/>
  <c r="S4" i="2"/>
  <c r="M4" i="2"/>
  <c r="M6" i="2"/>
  <c r="G7" i="3"/>
  <c r="S2" i="2"/>
  <c r="S3" i="2"/>
  <c r="U4" i="2"/>
  <c r="S5" i="2"/>
  <c r="S7" i="2"/>
  <c r="S8" i="2"/>
  <c r="S9" i="2"/>
  <c r="T4" i="2"/>
  <c r="T5" i="2"/>
  <c r="T6" i="2"/>
  <c r="T7" i="2"/>
  <c r="T8" i="2"/>
  <c r="T9" i="2"/>
  <c r="T3" i="2"/>
  <c r="O2" i="2"/>
  <c r="O4" i="2"/>
  <c r="O6" i="2"/>
  <c r="O8" i="2"/>
  <c r="H7" i="3"/>
  <c r="U2" i="2"/>
  <c r="U3" i="2"/>
  <c r="X3" i="2"/>
  <c r="U5" i="2"/>
  <c r="U6" i="2"/>
  <c r="U7" i="2"/>
  <c r="U8" i="2"/>
  <c r="U9" i="2"/>
  <c r="P2" i="2"/>
  <c r="P4" i="2"/>
  <c r="P6" i="2"/>
  <c r="P8" i="2"/>
  <c r="V2" i="2"/>
  <c r="V3" i="2"/>
  <c r="V4" i="2"/>
  <c r="V5" i="2"/>
  <c r="V6" i="2"/>
  <c r="V7" i="2"/>
  <c r="V8" i="2"/>
  <c r="V9" i="2"/>
  <c r="T2" i="2"/>
  <c r="M3" i="2"/>
  <c r="M5" i="2"/>
  <c r="M7" i="2"/>
  <c r="M9" i="2"/>
  <c r="W2" i="2"/>
  <c r="W3" i="2"/>
  <c r="W4" i="2"/>
  <c r="W5" i="2"/>
  <c r="W6" i="2"/>
  <c r="W7" i="2"/>
  <c r="W8" i="2"/>
  <c r="W9" i="2"/>
  <c r="X2" i="2"/>
  <c r="Y3" i="2"/>
  <c r="X4" i="2"/>
  <c r="X5" i="2"/>
  <c r="X6" i="2"/>
  <c r="X7" i="2"/>
  <c r="X8" i="2"/>
  <c r="X9" i="2"/>
  <c r="O3" i="2"/>
  <c r="O5" i="2"/>
  <c r="O7" i="2"/>
  <c r="O9" i="2"/>
  <c r="B6" i="3" l="1"/>
  <c r="I6" i="3"/>
  <c r="G6" i="3"/>
  <c r="C6" i="3"/>
  <c r="F6" i="3"/>
  <c r="C7" i="3"/>
  <c r="B10" i="3" s="1"/>
  <c r="E6" i="3"/>
  <c r="D6" i="3"/>
  <c r="B9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<sst xmlns="http://schemas.openxmlformats.org/spreadsheetml/2006/main" count="159" uniqueCount="55">
  <si>
    <t>Date</t>
  </si>
  <si>
    <t>SPY</t>
  </si>
  <si>
    <t>QQQ</t>
  </si>
  <si>
    <t>IWM</t>
  </si>
  <si>
    <t>TLT</t>
  </si>
  <si>
    <t>SHY</t>
  </si>
  <si>
    <t>GLD</t>
  </si>
  <si>
    <t>VXUS</t>
  </si>
  <si>
    <t>EFA</t>
  </si>
  <si>
    <t>ETF</t>
  </si>
  <si>
    <t>Avg Return</t>
  </si>
  <si>
    <t>Std Dev</t>
  </si>
  <si>
    <t>Worst</t>
  </si>
  <si>
    <t>Best</t>
  </si>
  <si>
    <t>Model 1 – Max Expected Return (Risk-Constrained LP)</t>
  </si>
  <si>
    <t>Weight</t>
  </si>
  <si>
    <t>Portfolio Return</t>
  </si>
  <si>
    <t>Portfolio Risk</t>
  </si>
  <si>
    <t>Sum of Weights</t>
  </si>
  <si>
    <t>Risk Limit (R_max)</t>
  </si>
  <si>
    <t>Model 2 –  Minimize Risk (Return-Constrained LP)</t>
  </si>
  <si>
    <t>Minimum Return (R_min)</t>
  </si>
  <si>
    <t>Target Return</t>
  </si>
  <si>
    <t>Lambda</t>
  </si>
  <si>
    <t>Model 3 –  Mean-Variance Tradeoff Optimization</t>
  </si>
  <si>
    <t>Objective</t>
  </si>
  <si>
    <t>Model 4 - Nonlinear Mean-Variance Portfolio (Quadratic Risk Min)</t>
  </si>
  <si>
    <t>Covariance Matrix</t>
  </si>
  <si>
    <t>Portfolio Variance</t>
  </si>
  <si>
    <t>Portfolio Std Dev</t>
  </si>
  <si>
    <t>Model 5 -Maximize Worst-Case Monthly Returns (Maximin)</t>
  </si>
  <si>
    <t>Portfolio Avg Return</t>
  </si>
  <si>
    <t>Worst-Case Monthly Return (z)</t>
  </si>
  <si>
    <t>This model simply allocates the same weight to every ETF.</t>
  </si>
  <si>
    <t>It gives a balanced exposure across all asset classes without making any assumptions about return or risk.</t>
  </si>
  <si>
    <t>It serves as a baseline portfolio to compare against more optimized approaches.</t>
  </si>
  <si>
    <t>This model focuses only on choosing the portfolio with the highest expected return.</t>
  </si>
  <si>
    <t>Because risk is not restricted, the solution concentrates in the assets with the strongest average performance.</t>
  </si>
  <si>
    <t>It provides the most aggressive allocation but also comes with higher volatility.</t>
  </si>
  <si>
    <t>This model balances return and risk using a λ (lambda) value to control risk aversion.</t>
  </si>
  <si>
    <t>It finds the mix of assets that offers the best tradeoff between higher returns and lower volatility.</t>
  </si>
  <si>
    <t>The resulting allocation is more diversified than Model 2 and less volatile.</t>
  </si>
  <si>
    <t>This model minimizes the total portfolio variance while still requiring weights to sum to 1.</t>
  </si>
  <si>
    <t>It produces a very conservative portfolio that prioritizes stability over growth.</t>
  </si>
  <si>
    <t>The allocation typically leans toward lower-volatility ETFs and avoids concentrated positions.</t>
  </si>
  <si>
    <r>
      <t xml:space="preserve">This model chooses weights that make the </t>
    </r>
    <r>
      <rPr>
        <i/>
        <sz val="11"/>
        <color theme="1"/>
        <rFont val="Aptos Narrow"/>
        <family val="2"/>
        <scheme val="minor"/>
      </rPr>
      <t>worst</t>
    </r>
    <r>
      <rPr>
        <sz val="11"/>
        <color theme="1"/>
        <rFont val="Aptos Narrow"/>
        <family val="2"/>
        <scheme val="minor"/>
      </rPr>
      <t xml:space="preserve"> historical month as good as possible.</t>
    </r>
  </si>
  <si>
    <t>It focuses on downside protection by limiting how severe the worst monthly loss can be.</t>
  </si>
  <si>
    <t>The result is a defensive portfolio that sacrifices some return to improve the minimum monthly performance.</t>
  </si>
  <si>
    <t>No value in B because returns start at the second month.</t>
  </si>
  <si>
    <t>Expected Return</t>
  </si>
  <si>
    <t>Contribution</t>
  </si>
  <si>
    <t>Expected Monthly Portfolio Return</t>
  </si>
  <si>
    <t>Risk Contribution</t>
  </si>
  <si>
    <t>Portfolio Risk (Linear)</t>
  </si>
  <si>
    <t>We didn’t re-optimize this portfolio. We blended the dominant allocations from Models 2, 3, and 4 to create a realistic recommendation for a moderate-risk client, then calculated the expected return and risk using the same inputs as the earlier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</si>
</sst>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Helvetica Neue"/>
    </font>
    <font>
      <sz val="10"/>
      <color theme="1"/>
      <name val="Helvetica Neue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wrapText="1"/>
    </xf>
    <xf numFmtId="14" fontId="2" fillId="2" borderId="0" xfId="0" applyNumberFormat="1" applyFont="1" applyFill="1" applyAlignment="1">
      <alignment horizontal="right" vertical="top" wrapText="1"/>
    </xf>
    <xf numFmtId="0" fontId="1" fillId="0" borderId="0" xfId="0" applyFont="1"/>
    <xf numFmtId="14" fontId="3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2164-349C-4E8B-8992-7C606BE71B6F}">
  <dimension ref="A1:I37"/>
  <sheetViews>
    <sheetView zoomScale="75" workbookViewId="0">
      <selection activeCell="J1" sqref="J1:P10"/>
    </sheetView>
  </sheetViews>
  <sheetFormatPr defaultRowHeight="14.75"/>
  <cols>
    <col min="1" max="1" width="9.179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6">
        <v>44927</v>
      </c>
      <c r="B2" s="3">
        <v>406.48</v>
      </c>
      <c r="C2" s="2">
        <v>320.93</v>
      </c>
      <c r="D2" s="2">
        <v>191.48</v>
      </c>
      <c r="E2" s="3">
        <v>107.17</v>
      </c>
      <c r="F2" s="2">
        <v>81.8</v>
      </c>
      <c r="G2" s="3">
        <v>179.41</v>
      </c>
      <c r="H2" s="2">
        <v>56.21</v>
      </c>
      <c r="I2" s="3">
        <v>71.55</v>
      </c>
    </row>
    <row r="3" spans="1:9">
      <c r="A3" s="6">
        <v>44958</v>
      </c>
      <c r="B3" s="3">
        <v>396.26</v>
      </c>
      <c r="C3" s="2">
        <v>322.56</v>
      </c>
      <c r="D3" s="2">
        <v>188.18</v>
      </c>
      <c r="E3" s="3">
        <v>101.71</v>
      </c>
      <c r="F3" s="2">
        <v>80.989999999999995</v>
      </c>
      <c r="G3" s="3">
        <v>169.78</v>
      </c>
      <c r="H3" s="2">
        <v>53.81</v>
      </c>
      <c r="I3" s="3">
        <v>69.349999999999994</v>
      </c>
    </row>
    <row r="4" spans="1:9">
      <c r="A4" s="6">
        <v>44986</v>
      </c>
      <c r="B4" s="3">
        <v>409.39</v>
      </c>
      <c r="C4" s="2">
        <v>347.99</v>
      </c>
      <c r="D4" s="2">
        <v>178.4</v>
      </c>
      <c r="E4" s="3">
        <v>106.37</v>
      </c>
      <c r="F4" s="2">
        <v>82.16</v>
      </c>
      <c r="G4" s="3">
        <v>183.22</v>
      </c>
      <c r="H4" s="2">
        <v>55.21</v>
      </c>
      <c r="I4" s="3">
        <v>71.52</v>
      </c>
    </row>
    <row r="5" spans="1:9">
      <c r="A5" s="6">
        <v>45017</v>
      </c>
      <c r="B5" s="3">
        <v>415.93</v>
      </c>
      <c r="C5" s="2">
        <v>369.42</v>
      </c>
      <c r="D5" s="2">
        <v>175.2</v>
      </c>
      <c r="E5" s="3">
        <v>106.46</v>
      </c>
      <c r="F5" s="2">
        <v>82.18</v>
      </c>
      <c r="G5" s="3">
        <v>184.8</v>
      </c>
      <c r="H5" s="2">
        <v>56.25</v>
      </c>
      <c r="I5" s="3">
        <v>73.62</v>
      </c>
    </row>
    <row r="6" spans="1:9">
      <c r="A6" s="6">
        <v>45047</v>
      </c>
      <c r="B6" s="3">
        <v>417.85</v>
      </c>
      <c r="C6" s="2">
        <v>383.68</v>
      </c>
      <c r="D6" s="2">
        <v>173.77</v>
      </c>
      <c r="E6" s="3">
        <v>102.99</v>
      </c>
      <c r="F6" s="2">
        <v>81.680000000000007</v>
      </c>
      <c r="G6" s="3">
        <v>182.32</v>
      </c>
      <c r="H6" s="2">
        <v>54.28</v>
      </c>
      <c r="I6" s="3">
        <v>70.67</v>
      </c>
    </row>
    <row r="7" spans="1:9">
      <c r="A7" s="6">
        <v>45078</v>
      </c>
      <c r="B7" s="3">
        <v>443.28</v>
      </c>
      <c r="C7" s="2">
        <v>377.99</v>
      </c>
      <c r="D7" s="2">
        <v>187.27</v>
      </c>
      <c r="E7" s="3">
        <v>102.94</v>
      </c>
      <c r="F7" s="2">
        <v>81.08</v>
      </c>
      <c r="G7" s="3">
        <v>178.27</v>
      </c>
      <c r="H7" s="2">
        <v>56.08</v>
      </c>
      <c r="I7" s="3">
        <v>72.5</v>
      </c>
    </row>
    <row r="8" spans="1:9">
      <c r="A8" s="6">
        <v>45108</v>
      </c>
      <c r="B8" s="3">
        <v>457.79</v>
      </c>
      <c r="C8" s="2">
        <v>358.27</v>
      </c>
      <c r="D8" s="2">
        <v>198.71</v>
      </c>
      <c r="E8" s="3">
        <v>100.05</v>
      </c>
      <c r="F8" s="2">
        <v>81.12</v>
      </c>
      <c r="G8" s="3">
        <v>182.35</v>
      </c>
      <c r="H8" s="2">
        <v>58.26</v>
      </c>
      <c r="I8" s="3">
        <v>74.459999999999994</v>
      </c>
    </row>
    <row r="9" spans="1:9">
      <c r="A9" s="6">
        <v>45139</v>
      </c>
      <c r="B9" s="3">
        <v>450.35</v>
      </c>
      <c r="C9" s="2">
        <v>350.87</v>
      </c>
      <c r="D9" s="2">
        <v>188.61</v>
      </c>
      <c r="E9" s="3">
        <v>96.64</v>
      </c>
      <c r="F9" s="2">
        <v>81.239999999999995</v>
      </c>
      <c r="G9" s="3">
        <v>180.02</v>
      </c>
      <c r="H9" s="2">
        <v>55.7</v>
      </c>
      <c r="I9" s="3">
        <v>71.53</v>
      </c>
    </row>
    <row r="10" spans="1:9">
      <c r="A10" s="6">
        <v>45170</v>
      </c>
      <c r="B10" s="3">
        <v>427.48</v>
      </c>
      <c r="C10" s="2">
        <v>388.83</v>
      </c>
      <c r="D10" s="2">
        <v>176.74</v>
      </c>
      <c r="E10" s="3">
        <v>88.69</v>
      </c>
      <c r="F10" s="2">
        <v>80.97</v>
      </c>
      <c r="G10" s="3">
        <v>171.45</v>
      </c>
      <c r="H10" s="2">
        <v>53.52</v>
      </c>
      <c r="I10" s="3">
        <v>68.92</v>
      </c>
    </row>
    <row r="11" spans="1:9">
      <c r="A11" s="6">
        <v>45200</v>
      </c>
      <c r="B11" s="3">
        <v>418.2</v>
      </c>
      <c r="C11" s="2">
        <v>389.94</v>
      </c>
      <c r="D11" s="2">
        <v>164.52</v>
      </c>
      <c r="E11" s="3">
        <v>83.58</v>
      </c>
      <c r="F11" s="2">
        <v>81.03</v>
      </c>
      <c r="G11" s="3">
        <v>184.09</v>
      </c>
      <c r="H11" s="2">
        <v>51.72</v>
      </c>
      <c r="I11" s="3">
        <v>66.92</v>
      </c>
    </row>
    <row r="12" spans="1:9">
      <c r="A12" s="6">
        <v>45231</v>
      </c>
      <c r="B12" s="3">
        <v>456.4</v>
      </c>
      <c r="C12" s="2">
        <v>409.52</v>
      </c>
      <c r="D12" s="2">
        <v>179.66</v>
      </c>
      <c r="E12" s="3">
        <v>91.56</v>
      </c>
      <c r="F12" s="2">
        <v>81.650000000000006</v>
      </c>
      <c r="G12" s="3">
        <v>188.75</v>
      </c>
      <c r="H12" s="2">
        <v>55.98</v>
      </c>
      <c r="I12" s="3">
        <v>72.42</v>
      </c>
    </row>
    <row r="13" spans="1:9">
      <c r="A13" s="6">
        <v>45261</v>
      </c>
      <c r="B13" s="3">
        <v>475.31</v>
      </c>
      <c r="C13" s="2">
        <v>416.97</v>
      </c>
      <c r="D13" s="2">
        <v>200.71</v>
      </c>
      <c r="E13" s="3">
        <v>98.88</v>
      </c>
      <c r="F13" s="2">
        <v>82.04</v>
      </c>
      <c r="G13" s="3">
        <v>191.17</v>
      </c>
      <c r="H13" s="2">
        <v>57.96</v>
      </c>
      <c r="I13" s="3">
        <v>75.349999999999994</v>
      </c>
    </row>
    <row r="14" spans="1:9">
      <c r="A14" s="6">
        <v>45292</v>
      </c>
      <c r="B14" s="3">
        <v>482.88</v>
      </c>
      <c r="C14" s="2">
        <v>439</v>
      </c>
      <c r="D14" s="2">
        <v>192.88</v>
      </c>
      <c r="E14" s="3">
        <v>96.66</v>
      </c>
      <c r="F14" s="2">
        <v>82.3</v>
      </c>
      <c r="G14" s="3">
        <v>188.45</v>
      </c>
      <c r="H14" s="2">
        <v>56.97</v>
      </c>
      <c r="I14" s="3">
        <v>75.010000000000005</v>
      </c>
    </row>
    <row r="15" spans="1:9">
      <c r="A15" s="6">
        <v>45323</v>
      </c>
      <c r="B15" s="3">
        <v>508.08</v>
      </c>
      <c r="C15" s="2">
        <v>444.01</v>
      </c>
      <c r="D15" s="2">
        <v>203.73</v>
      </c>
      <c r="E15" s="3">
        <v>94.18</v>
      </c>
      <c r="F15" s="2">
        <v>81.739999999999995</v>
      </c>
      <c r="G15" s="3">
        <v>189.31</v>
      </c>
      <c r="H15" s="2">
        <v>58.63</v>
      </c>
      <c r="I15" s="3">
        <v>77.25</v>
      </c>
    </row>
    <row r="16" spans="1:9">
      <c r="A16" s="6">
        <v>45352</v>
      </c>
      <c r="B16" s="3">
        <v>523.07000000000005</v>
      </c>
      <c r="C16" s="2">
        <v>424.59</v>
      </c>
      <c r="D16" s="2">
        <v>210.3</v>
      </c>
      <c r="E16" s="3">
        <v>94.62</v>
      </c>
      <c r="F16" s="2">
        <v>81.78</v>
      </c>
      <c r="G16" s="3">
        <v>205.72</v>
      </c>
      <c r="H16" s="2">
        <v>60.3</v>
      </c>
      <c r="I16" s="3">
        <v>79.86</v>
      </c>
    </row>
    <row r="17" spans="1:9">
      <c r="A17" s="6">
        <v>45383</v>
      </c>
      <c r="B17" s="3">
        <v>501.98</v>
      </c>
      <c r="C17" s="2">
        <v>450.71</v>
      </c>
      <c r="D17" s="2">
        <v>195.9</v>
      </c>
      <c r="E17" s="3">
        <v>88.22</v>
      </c>
      <c r="F17" s="2">
        <v>81.150000000000006</v>
      </c>
      <c r="G17" s="3">
        <v>211.87</v>
      </c>
      <c r="H17" s="2">
        <v>58.9</v>
      </c>
      <c r="I17" s="3">
        <v>77.27</v>
      </c>
    </row>
    <row r="18" spans="1:9">
      <c r="A18" s="6">
        <v>45413</v>
      </c>
      <c r="B18" s="3">
        <v>527.37</v>
      </c>
      <c r="C18" s="2">
        <v>479.11</v>
      </c>
      <c r="D18" s="2">
        <v>205.77</v>
      </c>
      <c r="E18" s="3">
        <v>90.45</v>
      </c>
      <c r="F18" s="2">
        <v>81.47</v>
      </c>
      <c r="G18" s="3">
        <v>215.3</v>
      </c>
      <c r="H18" s="2">
        <v>61.27</v>
      </c>
      <c r="I18" s="3">
        <v>81.180000000000007</v>
      </c>
    </row>
    <row r="19" spans="1:9">
      <c r="A19" s="6">
        <v>45444</v>
      </c>
      <c r="B19" s="3">
        <v>544.22</v>
      </c>
      <c r="C19" s="2">
        <v>471.07</v>
      </c>
      <c r="D19" s="2">
        <v>202.89</v>
      </c>
      <c r="E19" s="3">
        <v>91.78</v>
      </c>
      <c r="F19" s="2">
        <v>81.650000000000006</v>
      </c>
      <c r="G19" s="3">
        <v>215.01</v>
      </c>
      <c r="H19" s="2">
        <v>60.3</v>
      </c>
      <c r="I19" s="3">
        <v>78.33</v>
      </c>
    </row>
    <row r="20" spans="1:9">
      <c r="A20" s="6">
        <v>45474</v>
      </c>
      <c r="B20" s="3">
        <v>550.80999999999995</v>
      </c>
      <c r="C20" s="2">
        <v>476.27</v>
      </c>
      <c r="D20" s="2">
        <v>223.86</v>
      </c>
      <c r="E20" s="3">
        <v>94.81</v>
      </c>
      <c r="F20" s="2">
        <v>82.34</v>
      </c>
      <c r="G20" s="3">
        <v>226.55</v>
      </c>
      <c r="H20" s="2">
        <v>61.88</v>
      </c>
      <c r="I20" s="3">
        <v>80.36</v>
      </c>
    </row>
    <row r="21" spans="1:9">
      <c r="A21" s="6">
        <v>45505</v>
      </c>
      <c r="B21" s="3">
        <v>563.67999999999995</v>
      </c>
      <c r="C21" s="2">
        <v>488.07</v>
      </c>
      <c r="D21" s="2">
        <v>220.08</v>
      </c>
      <c r="E21" s="3">
        <v>96.49</v>
      </c>
      <c r="F21" s="2">
        <v>82.8</v>
      </c>
      <c r="G21" s="3">
        <v>231.29</v>
      </c>
      <c r="H21" s="2">
        <v>63.37</v>
      </c>
      <c r="I21" s="3">
        <v>82.98</v>
      </c>
    </row>
    <row r="22" spans="1:9">
      <c r="A22" s="6">
        <v>45536</v>
      </c>
      <c r="B22" s="3">
        <v>573.76</v>
      </c>
      <c r="C22" s="2">
        <v>483.85</v>
      </c>
      <c r="D22" s="2">
        <v>220.89</v>
      </c>
      <c r="E22" s="3">
        <v>98.1</v>
      </c>
      <c r="F22" s="2">
        <v>83.15</v>
      </c>
      <c r="G22" s="3">
        <v>243.06</v>
      </c>
      <c r="H22" s="2">
        <v>64.739999999999995</v>
      </c>
      <c r="I22" s="3">
        <v>83.63</v>
      </c>
    </row>
    <row r="23" spans="1:9">
      <c r="A23" s="6">
        <v>45566</v>
      </c>
      <c r="B23" s="3">
        <v>568.64</v>
      </c>
      <c r="C23" s="2">
        <v>509.74</v>
      </c>
      <c r="D23" s="2">
        <v>217.76</v>
      </c>
      <c r="E23" s="3">
        <v>92.45</v>
      </c>
      <c r="F23" s="2">
        <v>82.36</v>
      </c>
      <c r="G23" s="3">
        <v>253.51</v>
      </c>
      <c r="H23" s="2">
        <v>61.85</v>
      </c>
      <c r="I23" s="3">
        <v>79.22</v>
      </c>
    </row>
    <row r="24" spans="1:9">
      <c r="A24" s="6">
        <v>45597</v>
      </c>
      <c r="B24" s="3">
        <v>602.54999999999995</v>
      </c>
      <c r="C24" s="2">
        <v>516.87</v>
      </c>
      <c r="D24" s="2">
        <v>241.87</v>
      </c>
      <c r="E24" s="3">
        <v>93.97</v>
      </c>
      <c r="F24" s="2">
        <v>82.32</v>
      </c>
      <c r="G24" s="3">
        <v>245.59</v>
      </c>
      <c r="H24" s="2">
        <v>61.71</v>
      </c>
      <c r="I24" s="3">
        <v>78.97</v>
      </c>
    </row>
    <row r="25" spans="1:9">
      <c r="A25" s="6">
        <v>45627</v>
      </c>
      <c r="B25" s="3">
        <v>586.08000000000004</v>
      </c>
      <c r="C25" s="2">
        <v>511.23</v>
      </c>
      <c r="D25" s="2">
        <v>220.96</v>
      </c>
      <c r="E25" s="3">
        <v>87.33</v>
      </c>
      <c r="F25" s="2">
        <v>81.98</v>
      </c>
      <c r="G25" s="3">
        <v>242.13</v>
      </c>
      <c r="H25" s="2">
        <v>58.93</v>
      </c>
      <c r="I25" s="3">
        <v>75.61</v>
      </c>
    </row>
    <row r="26" spans="1:9">
      <c r="A26" s="6">
        <v>45658</v>
      </c>
      <c r="B26" s="3">
        <v>601.82000000000005</v>
      </c>
      <c r="C26" s="2">
        <v>522.29</v>
      </c>
      <c r="D26" s="2">
        <v>226.48</v>
      </c>
      <c r="E26" s="3">
        <v>87.76</v>
      </c>
      <c r="F26" s="2">
        <v>82.29</v>
      </c>
      <c r="G26" s="3">
        <v>258.56</v>
      </c>
      <c r="H26" s="2">
        <v>60.92</v>
      </c>
      <c r="I26" s="3">
        <v>79.239999999999995</v>
      </c>
    </row>
    <row r="27" spans="1:9">
      <c r="A27" s="6">
        <v>45689</v>
      </c>
      <c r="B27" s="3">
        <v>594.17999999999995</v>
      </c>
      <c r="C27" s="2">
        <v>508.17</v>
      </c>
      <c r="D27" s="2">
        <v>214.65</v>
      </c>
      <c r="E27" s="3">
        <v>92.43</v>
      </c>
      <c r="F27" s="2">
        <v>82.62</v>
      </c>
      <c r="G27" s="3">
        <v>263.27</v>
      </c>
      <c r="H27" s="2">
        <v>62.05</v>
      </c>
      <c r="I27" s="3">
        <v>81.58</v>
      </c>
    </row>
    <row r="28" spans="1:9">
      <c r="A28" s="6">
        <v>45717</v>
      </c>
      <c r="B28" s="3">
        <v>559.39</v>
      </c>
      <c r="C28" s="2">
        <v>468.92</v>
      </c>
      <c r="D28" s="2">
        <v>199.49</v>
      </c>
      <c r="E28" s="3">
        <v>91.03</v>
      </c>
      <c r="F28" s="2">
        <v>82.73</v>
      </c>
      <c r="G28" s="3">
        <v>288.14</v>
      </c>
      <c r="H28" s="2">
        <v>62.1</v>
      </c>
      <c r="I28" s="3">
        <v>81.73</v>
      </c>
    </row>
    <row r="29" spans="1:9">
      <c r="A29" s="6">
        <v>45748</v>
      </c>
      <c r="B29" s="3">
        <v>554.54</v>
      </c>
      <c r="C29" s="2">
        <v>475.47</v>
      </c>
      <c r="D29" s="2">
        <v>194.86</v>
      </c>
      <c r="E29" s="3">
        <v>89.47</v>
      </c>
      <c r="F29" s="2">
        <v>83.12</v>
      </c>
      <c r="G29" s="3">
        <v>303.77</v>
      </c>
      <c r="H29" s="2">
        <v>63.86</v>
      </c>
      <c r="I29" s="3">
        <v>84.75</v>
      </c>
    </row>
    <row r="30" spans="1:9">
      <c r="A30" s="6">
        <v>45778</v>
      </c>
      <c r="B30" s="3">
        <v>589.39</v>
      </c>
      <c r="C30" s="2">
        <v>519.11</v>
      </c>
      <c r="D30" s="2">
        <v>205.07</v>
      </c>
      <c r="E30" s="3">
        <v>86.28</v>
      </c>
      <c r="F30" s="2">
        <v>82.65</v>
      </c>
      <c r="G30" s="3">
        <v>303.60000000000002</v>
      </c>
      <c r="H30" s="2">
        <v>66.94</v>
      </c>
      <c r="I30" s="3">
        <v>88.81</v>
      </c>
    </row>
    <row r="31" spans="1:9">
      <c r="A31" s="6">
        <v>45809</v>
      </c>
      <c r="B31" s="3">
        <v>617.85</v>
      </c>
      <c r="C31" s="2">
        <v>551.64</v>
      </c>
      <c r="D31" s="2">
        <v>215.79</v>
      </c>
      <c r="E31" s="3">
        <v>88.25</v>
      </c>
      <c r="F31" s="2">
        <v>82.86</v>
      </c>
      <c r="G31" s="3">
        <v>304.83</v>
      </c>
      <c r="H31" s="2">
        <v>69.09</v>
      </c>
      <c r="I31" s="3">
        <v>89.39</v>
      </c>
    </row>
    <row r="32" spans="1:9">
      <c r="A32" s="6">
        <v>45839</v>
      </c>
      <c r="B32" s="3">
        <v>632.08000000000004</v>
      </c>
      <c r="C32" s="2">
        <v>565.01</v>
      </c>
      <c r="D32" s="2">
        <v>219.39</v>
      </c>
      <c r="E32" s="3">
        <v>86.92</v>
      </c>
      <c r="F32" s="2">
        <v>82.52</v>
      </c>
      <c r="G32" s="3">
        <v>302.95999999999998</v>
      </c>
      <c r="H32" s="2">
        <v>68.47</v>
      </c>
      <c r="I32" s="3">
        <v>87.52</v>
      </c>
    </row>
    <row r="33" spans="1:9">
      <c r="A33" s="6">
        <v>45870</v>
      </c>
      <c r="B33" s="3">
        <v>645.04999999999995</v>
      </c>
      <c r="C33" s="2">
        <v>570.4</v>
      </c>
      <c r="D33" s="2">
        <v>235.17</v>
      </c>
      <c r="E33" s="3">
        <v>86.6</v>
      </c>
      <c r="F33" s="2">
        <v>82.98</v>
      </c>
      <c r="G33" s="3">
        <v>318.07</v>
      </c>
      <c r="H33" s="2">
        <v>71.37</v>
      </c>
      <c r="I33" s="3">
        <v>91.48</v>
      </c>
    </row>
    <row r="34" spans="1:9">
      <c r="A34" s="6">
        <v>45901</v>
      </c>
      <c r="B34" s="3">
        <v>666.18</v>
      </c>
      <c r="C34" s="2">
        <v>600.37</v>
      </c>
      <c r="D34" s="2">
        <v>241.96</v>
      </c>
      <c r="E34" s="3">
        <v>89.37</v>
      </c>
      <c r="F34" s="2">
        <v>82.96</v>
      </c>
      <c r="G34" s="3">
        <v>355.47</v>
      </c>
      <c r="H34" s="2">
        <v>73.459999999999994</v>
      </c>
      <c r="I34" s="3">
        <v>93.37</v>
      </c>
    </row>
    <row r="35" spans="1:9">
      <c r="A35" s="6">
        <v>45931</v>
      </c>
      <c r="B35" s="3">
        <v>682.06</v>
      </c>
      <c r="C35" s="2">
        <v>629.07000000000005</v>
      </c>
      <c r="D35" s="2">
        <v>246.23</v>
      </c>
      <c r="E35" s="3">
        <v>90.29</v>
      </c>
      <c r="F35" s="2">
        <v>82.98</v>
      </c>
      <c r="G35" s="3">
        <v>368.12</v>
      </c>
      <c r="H35" s="2">
        <v>74.63</v>
      </c>
      <c r="I35" s="3">
        <v>94.49</v>
      </c>
    </row>
    <row r="36" spans="1:9">
      <c r="A36" s="6">
        <v>45962</v>
      </c>
      <c r="B36" s="3">
        <v>683.39</v>
      </c>
      <c r="C36" s="2">
        <v>619.25</v>
      </c>
      <c r="D36" s="2">
        <v>248.75</v>
      </c>
      <c r="E36" s="3">
        <v>90.21</v>
      </c>
      <c r="F36" s="2">
        <v>83.08</v>
      </c>
      <c r="G36" s="3">
        <v>387.88</v>
      </c>
      <c r="H36" s="2">
        <v>74.94</v>
      </c>
      <c r="I36" s="3">
        <v>95.19</v>
      </c>
    </row>
    <row r="37" spans="1:9">
      <c r="A37" s="6">
        <v>45992</v>
      </c>
      <c r="B37">
        <v>683.89</v>
      </c>
      <c r="C37">
        <v>623.52</v>
      </c>
      <c r="D37">
        <v>249.63</v>
      </c>
      <c r="E37">
        <v>89.06</v>
      </c>
      <c r="F37">
        <v>82.86</v>
      </c>
      <c r="G37">
        <v>386.88</v>
      </c>
      <c r="H37">
        <v>75.069999999999993</v>
      </c>
      <c r="I37">
        <v>95.55</v>
      </c>
    </row>
  </sheetData>
  <sortState xmlns:xlrd2="http://schemas.microsoft.com/office/spreadsheetml/2017/richdata2" ref="A2:I36">
    <sortCondition ref="A1:A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A089-84FB-4DD4-BD5C-BBB0D6FCCD6B}">
  <dimension ref="A1:Z37"/>
  <sheetViews>
    <sheetView topLeftCell="I1" workbookViewId="0">
      <selection activeCell="S9" sqref="S9"/>
    </sheetView>
  </sheetViews>
  <sheetFormatPr defaultRowHeight="14.75"/>
  <cols>
    <col min="18" max="18" width="21.6328125" customWidth="1"/>
    <col min="19" max="21" width="12.26953125" bestFit="1" customWidth="1"/>
    <col min="23" max="24" width="12.26953125" bestFit="1" customWidth="1"/>
    <col min="25" max="26" width="11.679687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R1" s="5" t="s">
        <v>27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</row>
    <row r="2" spans="1:26">
      <c r="A2" s="4">
        <v>44927</v>
      </c>
      <c r="B2" t="s">
        <v>48</v>
      </c>
      <c r="L2" t="s">
        <v>1</v>
      </c>
      <c r="M2">
        <f>AVERAGE(B$2:B$37)</f>
        <v>1.5533412831996798E-2</v>
      </c>
      <c r="N2">
        <f>_xlfn.STDEV.S(B$2:B$37)</f>
        <v>3.4051552505559725E-2</v>
      </c>
      <c r="O2">
        <f>MIN(B$2:B$37)</f>
        <v>-5.8551280756673041E-2</v>
      </c>
      <c r="P2">
        <f>MAX(B$2:B$37)</f>
        <v>9.1343854615016706E-2</v>
      </c>
      <c r="R2" t="s">
        <v>1</v>
      </c>
      <c r="S2">
        <f>_xlfn.COVARIANCE.P($B$3:$B$37,$B$3:$B$37)</f>
        <v>1.1263794215234939E-3</v>
      </c>
      <c r="T2">
        <f>_xlfn.COVARIANCE.P($B$3:$B$37,$C$3:$C$37)</f>
        <v>2.7245168019136352E-4</v>
      </c>
      <c r="U2">
        <f>_xlfn.COVARIANCE.P($B$3:$B$37,$D$3:$D$37)</f>
        <v>1.4802404880697837E-3</v>
      </c>
      <c r="V2">
        <f>_xlfn.COVARIANCE.P($B$3:$B$37,$E$3:$E37)</f>
        <v>8.5227166556013124E-4</v>
      </c>
      <c r="W2">
        <f>_xlfn.COVARIANCE.P($B$3:$B$37,$F$3:$F$37)</f>
        <v>4.5003575736616852E-5</v>
      </c>
      <c r="X2">
        <f>_xlfn.COVARIANCE.P($B$3:$B$37,$G$3:$G$37)</f>
        <v>-4.0390520702634986E-5</v>
      </c>
      <c r="Y2">
        <f>_xlfn.COVARIANCE.P($B$3:$B$37,$H$3:$H$37)</f>
        <v>7.7961172881136189E-4</v>
      </c>
      <c r="Z2">
        <f>_xlfn.COVARIANCE.P($B$3:$B$37,$I$3:$I$37)</f>
        <v>7.1944171413783006E-4</v>
      </c>
    </row>
    <row r="3" spans="1:26">
      <c r="A3" s="4">
        <v>44958</v>
      </c>
      <c r="B3">
        <f>(Price!B3/Price!B2)-1</f>
        <v>-2.514268844715617E-2</v>
      </c>
      <c r="C3">
        <f>(Price!C3/Price!C2)-1</f>
        <v>5.078989187673244E-3</v>
      </c>
      <c r="D3">
        <f>(Price!D3/Price!D2)-1</f>
        <v>-1.7234175893043546E-2</v>
      </c>
      <c r="E3">
        <f>(Price!E3/Price!E2)-1</f>
        <v>-5.0947093403004629E-2</v>
      </c>
      <c r="F3">
        <f>(Price!F3/Price!F2)-1</f>
        <v>-9.9022004889975923E-3</v>
      </c>
      <c r="G3">
        <f>(Price!G3/Price!G2)-1</f>
        <v>-5.3675937796109463E-2</v>
      </c>
      <c r="H3">
        <f>(Price!H3/Price!H2)-1</f>
        <v>-4.2697028998398889E-2</v>
      </c>
      <c r="I3">
        <f>(Price!I3/Price!I2)-1</f>
        <v>-3.0747728860936463E-2</v>
      </c>
      <c r="J3">
        <f>SUMPRODUCT('Model 5'!$B$4:$I$4,B3:I3)</f>
        <v>-1.3332436880246592E-2</v>
      </c>
      <c r="L3" t="s">
        <v>2</v>
      </c>
      <c r="M3">
        <f>AVERAGE(C$2:C$37)</f>
        <v>1.9973903331278593E-2</v>
      </c>
      <c r="N3">
        <f>_xlfn.STDEV.S(C$2:C$37)</f>
        <v>4.1330573793612095E-2</v>
      </c>
      <c r="O3">
        <f>MIN(C$2:C$37)</f>
        <v>-7.7237932188047309E-2</v>
      </c>
      <c r="P3">
        <f>MAX(C$2:C$37)</f>
        <v>0.10818821785846611</v>
      </c>
      <c r="R3" t="s">
        <v>2</v>
      </c>
      <c r="S3">
        <f>_xlfn.COVARIANCE.P($C$3:$C$37,$B$3:$B$37)</f>
        <v>2.7245168019136352E-4</v>
      </c>
      <c r="T3">
        <f>_xlfn.COVARIANCE.P($C$3:$C$37,$C$3:$C$37)</f>
        <v>1.6594101492489509E-3</v>
      </c>
      <c r="U3">
        <f>_xlfn.COVARIANCE.P($C$3:$C$37,$D$3:$D$37)</f>
        <v>4.9688168190563604E-5</v>
      </c>
      <c r="V3">
        <f>_xlfn.COVARIANCE.P($C$3:$C$37,$E$3:$E37)</f>
        <v>-5.2312369290714243E-5</v>
      </c>
      <c r="W3">
        <f>_xlfn.COVARIANCE.P($C$3:$C$37,$F$3:$F37)</f>
        <v>-5.9739928658034655E-6</v>
      </c>
      <c r="X3">
        <f>_xlfn.COVARIANCE.P($C$3:$C$37,$G$3:$G$37)</f>
        <v>-3.1558399372723383E-4</v>
      </c>
      <c r="Y3">
        <f>_xlfn.COVARIANCE.P($C$3:$C$37,$H$3:$H37)</f>
        <v>5.9631351571464187E-5</v>
      </c>
      <c r="Z3">
        <f>_xlfn.COVARIANCE.P($C$3:$C$37,$I$3:$I37)</f>
        <v>6.2435880600150749E-5</v>
      </c>
    </row>
    <row r="4" spans="1:26">
      <c r="A4" s="4">
        <v>44986</v>
      </c>
      <c r="B4">
        <f>(Price!B4/Price!B3)-1</f>
        <v>3.3134810477968957E-2</v>
      </c>
      <c r="C4">
        <f>(Price!C4/Price!C3)-1</f>
        <v>7.8838045634920695E-2</v>
      </c>
      <c r="D4">
        <f>(Price!D4/Price!D3)-1</f>
        <v>-5.1971516633010917E-2</v>
      </c>
      <c r="E4">
        <f>(Price!E4/Price!E3)-1</f>
        <v>4.5816537213646757E-2</v>
      </c>
      <c r="F4">
        <f>(Price!F4/Price!F3)-1</f>
        <v>1.4446227929374E-2</v>
      </c>
      <c r="G4">
        <f>(Price!G4/Price!G3)-1</f>
        <v>7.9161267522676493E-2</v>
      </c>
      <c r="H4">
        <f>(Price!H4/Price!H3)-1</f>
        <v>2.6017468871956773E-2</v>
      </c>
      <c r="I4">
        <f>(Price!I4/Price!I3)-1</f>
        <v>3.1290555155010891E-2</v>
      </c>
      <c r="J4">
        <f>SUMPRODUCT('Model 5'!$B$4:$I$4,B4:I4)</f>
        <v>4.7113154504394093E-2</v>
      </c>
      <c r="L4" t="s">
        <v>3</v>
      </c>
      <c r="M4">
        <f>AVERAGE(D$2:D$37)</f>
        <v>9.1398960163547906E-3</v>
      </c>
      <c r="N4">
        <f>_xlfn.STDEV.S(D$2:D$37)</f>
        <v>5.6590919009595307E-2</v>
      </c>
      <c r="O4">
        <f>MIN(D$2:D$37)</f>
        <v>-8.6451399512134652E-2</v>
      </c>
      <c r="P4">
        <f>MAX(D$2:D$37)</f>
        <v>0.11716575754202396</v>
      </c>
      <c r="R4" t="s">
        <v>3</v>
      </c>
      <c r="S4">
        <f>_xlfn.COVARIANCE.P($D$3:$D$37,$B$3:$B$37)</f>
        <v>1.4802404880697837E-3</v>
      </c>
      <c r="T4">
        <f>_xlfn.COVARIANCE.P($D$3:$D$37,$C$3:$C$37)</f>
        <v>4.9688168190563604E-5</v>
      </c>
      <c r="U4">
        <f>_xlfn.COVARIANCE.P($D$3:$D$37,$D$3:$D$37)</f>
        <v>3.1110311967977003E-3</v>
      </c>
      <c r="V4">
        <f>_xlfn.COVARIANCE.P($D$3:$D$37,$E$3:$E$37)</f>
        <v>1.2384480153798632E-3</v>
      </c>
      <c r="W4">
        <f>_xlfn.COVARIANCE.P($D$3:$D$37,$F$3:$F$37)</f>
        <v>4.1054436452864583E-5</v>
      </c>
      <c r="X4">
        <f>_xlfn.COVARIANCE.P($D$3:$D$37,$G$3:$G$37)</f>
        <v>-7.3182754295213033E-5</v>
      </c>
      <c r="Y4">
        <f>_xlfn.COVARIANCE.P($D$3:$D$37,$H$3:$H$37)</f>
        <v>1.1820069603220092E-3</v>
      </c>
      <c r="Z4">
        <f>_xlfn.COVARIANCE.P($D$3:$D$37,$I$3:$I$37)</f>
        <v>1.0830808167820018E-3</v>
      </c>
    </row>
    <row r="5" spans="1:26">
      <c r="A5" s="4">
        <v>45017</v>
      </c>
      <c r="B5">
        <f>(Price!B5/Price!B4)-1</f>
        <v>1.5974987176042399E-2</v>
      </c>
      <c r="C5">
        <f>(Price!C5/Price!C4)-1</f>
        <v>6.1582229374407271E-2</v>
      </c>
      <c r="D5">
        <f>(Price!D5/Price!D4)-1</f>
        <v>-1.7937219730941756E-2</v>
      </c>
      <c r="E5">
        <f>(Price!E5/Price!E4)-1</f>
        <v>8.4610322459321985E-4</v>
      </c>
      <c r="F5">
        <f>(Price!F5/Price!F4)-1</f>
        <v>2.4342745861738457E-4</v>
      </c>
      <c r="G5">
        <f>(Price!G5/Price!G4)-1</f>
        <v>8.6235127169522752E-3</v>
      </c>
      <c r="H5">
        <f>(Price!H5/Price!H4)-1</f>
        <v>1.8837167179858616E-2</v>
      </c>
      <c r="I5">
        <f>(Price!I5/Price!I4)-1</f>
        <v>2.9362416107382661E-2</v>
      </c>
      <c r="J5">
        <f>SUMPRODUCT('Model 5'!$B$4:$I$4,B5:I5)</f>
        <v>2.5394791529035586E-2</v>
      </c>
      <c r="L5" t="s">
        <v>4</v>
      </c>
      <c r="M5">
        <f>AVERAGE(E$2:E$37)</f>
        <v>-4.4725751363786301E-3</v>
      </c>
      <c r="N5">
        <f>_xlfn.STDEV.S(E$2:E$37)</f>
        <v>4.0650618725802425E-2</v>
      </c>
      <c r="O5">
        <f>MIN(E$2:E$37)</f>
        <v>-8.2264072847682113E-2</v>
      </c>
      <c r="P5">
        <f>MAX(E$2:E$37)</f>
        <v>9.5477386934673447E-2</v>
      </c>
      <c r="R5" t="s">
        <v>4</v>
      </c>
      <c r="S5">
        <f>_xlfn.COVARIANCE.P($E$3:$E$37,$B$3:$B$37)</f>
        <v>8.5227166556013124E-4</v>
      </c>
      <c r="T5">
        <f>_xlfn.COVARIANCE.P($E$3:$E$37,$C$3:$C$37)</f>
        <v>-5.2312369290714243E-5</v>
      </c>
      <c r="U5">
        <f>_xlfn.COVARIANCE.P($E$3:$E$37,$D$3:$D$37)</f>
        <v>1.2384480153798632E-3</v>
      </c>
      <c r="V5">
        <f>_xlfn.COVARIANCE.P($E$3:$E$37,$E$3:$E$37)</f>
        <v>1.6052592941393994E-3</v>
      </c>
      <c r="W5">
        <f>_xlfn.COVARIANCE.P($E$3:$E$37,$F$3:$F$37)</f>
        <v>1.4871744435445919E-4</v>
      </c>
      <c r="X5">
        <f>_xlfn.COVARIANCE.P($E$3:$E$37,$G$3:$G$37)</f>
        <v>4.6758979358724531E-4</v>
      </c>
      <c r="Y5">
        <f>_xlfn.COVARIANCE.P($E$3:$E$37,$H$3:$H$37)</f>
        <v>9.2454387938127678E-4</v>
      </c>
      <c r="Z5">
        <f>_xlfn.COVARIANCE.P($E$3:$E$37,$I$3:$I$37)</f>
        <v>9.289105366615234E-4</v>
      </c>
    </row>
    <row r="6" spans="1:26">
      <c r="A6" s="4">
        <v>45047</v>
      </c>
      <c r="B6">
        <f>(Price!B6/Price!B5)-1</f>
        <v>4.6161613733080031E-3</v>
      </c>
      <c r="C6">
        <f>(Price!C6/Price!C5)-1</f>
        <v>3.8601050295057115E-2</v>
      </c>
      <c r="D6">
        <f>(Price!D6/Price!D5)-1</f>
        <v>-8.1621004566209132E-3</v>
      </c>
      <c r="E6">
        <f>(Price!E6/Price!E5)-1</f>
        <v>-3.2594401653203042E-2</v>
      </c>
      <c r="F6">
        <f>(Price!F6/Price!F5)-1</f>
        <v>-6.0842054027744341E-3</v>
      </c>
      <c r="G6">
        <f>(Price!G6/Price!G5)-1</f>
        <v>-1.3419913419913554E-2</v>
      </c>
      <c r="H6">
        <f>(Price!H6/Price!H5)-1</f>
        <v>-3.5022222222222177E-2</v>
      </c>
      <c r="I6">
        <f>(Price!I6/Price!I5)-1</f>
        <v>-4.0070632980168441E-2</v>
      </c>
      <c r="J6">
        <f>SUMPRODUCT('Model 5'!$B$4:$I$4,B6:I6)</f>
        <v>4.5475572072098012E-3</v>
      </c>
      <c r="L6" t="s">
        <v>5</v>
      </c>
      <c r="M6">
        <f>AVERAGE(F$2:F$37)</f>
        <v>3.8223440420273672E-4</v>
      </c>
      <c r="N6">
        <f>_xlfn.STDEV.S(F$2:F$37)</f>
        <v>5.4280513791637956E-3</v>
      </c>
      <c r="O6">
        <f>MIN(F$2:F$37)</f>
        <v>-9.9022004889975923E-3</v>
      </c>
      <c r="P6">
        <f>MAX(F$2:F$37)</f>
        <v>1.4446227929374E-2</v>
      </c>
      <c r="R6" t="s">
        <v>5</v>
      </c>
      <c r="S6">
        <f>_xlfn.COVARIANCE.P($F$3:$F$37,$B$3:$B$37)</f>
        <v>4.5003575736616852E-5</v>
      </c>
      <c r="T6">
        <f>_xlfn.COVARIANCE.P($F$3:$F$37,$C$3:$C$37)</f>
        <v>-5.9739928658034655E-6</v>
      </c>
      <c r="U6">
        <f>_xlfn.COVARIANCE.P($F$3:$F$37,$D$3:$D$37)</f>
        <v>4.1054436452864583E-5</v>
      </c>
      <c r="V6">
        <f>_xlfn.COVARIANCE.P($F$3:$F$37,$E$3:$E$37)</f>
        <v>1.4871744435445919E-4</v>
      </c>
      <c r="W6">
        <f>_xlfn.COVARIANCE.P($F$3:$F$37,$F$3:$F$37)</f>
        <v>2.8621920581275072E-5</v>
      </c>
      <c r="X6">
        <f>_xlfn.COVARIANCE.P($F$3:$F$37,$G$3:$G$37)</f>
        <v>9.719067772925173E-5</v>
      </c>
      <c r="Y6">
        <f>_xlfn.COVARIANCE.P($F$3:$F$37,$H$3:$H$37)</f>
        <v>8.7197035594369397E-5</v>
      </c>
      <c r="Z6">
        <f>_xlfn.COVARIANCE.P($F$3:$F$37,$I$3:$I$37)</f>
        <v>9.7613500429306055E-5</v>
      </c>
    </row>
    <row r="7" spans="1:26">
      <c r="A7" s="4">
        <v>45078</v>
      </c>
      <c r="B7">
        <f>(Price!B7/Price!B6)-1</f>
        <v>6.0859159985640732E-2</v>
      </c>
      <c r="C7">
        <f>(Price!C7/Price!C6)-1</f>
        <v>-1.4830066722268498E-2</v>
      </c>
      <c r="D7">
        <f>(Price!D7/Price!D6)-1</f>
        <v>7.7688899119525701E-2</v>
      </c>
      <c r="E7">
        <f>(Price!E7/Price!E6)-1</f>
        <v>-4.8548402757542242E-4</v>
      </c>
      <c r="F7">
        <f>(Price!F7/Price!F6)-1</f>
        <v>-7.345739471106838E-3</v>
      </c>
      <c r="G7">
        <f>(Price!G7/Price!G6)-1</f>
        <v>-2.2213690215006521E-2</v>
      </c>
      <c r="H7">
        <f>(Price!H7/Price!H6)-1</f>
        <v>3.3161385408990274E-2</v>
      </c>
      <c r="I7">
        <f>(Price!I7/Price!I6)-1</f>
        <v>2.5895004952596556E-2</v>
      </c>
      <c r="J7">
        <f>SUMPRODUCT('Model 5'!$B$4:$I$4,B7:I7)</f>
        <v>-7.9434959456304906E-3</v>
      </c>
      <c r="L7" t="s">
        <v>6</v>
      </c>
      <c r="M7">
        <f>AVERAGE(G$2:G$37)</f>
        <v>2.2972144679122151E-2</v>
      </c>
      <c r="N7">
        <f>_xlfn.STDEV.S(G$2:G$37)</f>
        <v>4.050047609089158E-2</v>
      </c>
      <c r="O7">
        <f>MIN(G$2:G$37)</f>
        <v>-5.3675937796109463E-2</v>
      </c>
      <c r="P7">
        <f>MAX(G$2:G$37)</f>
        <v>0.11758417958311074</v>
      </c>
      <c r="R7" t="s">
        <v>6</v>
      </c>
      <c r="S7">
        <f>_xlfn.COVARIANCE.P($G$3:$G$37,$B$3:$B$37)</f>
        <v>-4.0390520702634986E-5</v>
      </c>
      <c r="T7">
        <f>_xlfn.COVARIANCE.P($G$3:$G$37,$C$3:$C$37)</f>
        <v>-3.1558399372723383E-4</v>
      </c>
      <c r="U7">
        <f>_xlfn.COVARIANCE.P($G$3:$G$37,$D$3:$D$37)</f>
        <v>-7.3182754295213033E-5</v>
      </c>
      <c r="V7">
        <f>_xlfn.COVARIANCE.P($G$3:$G$37,$E$3:$E$37)</f>
        <v>4.6758979358724531E-4</v>
      </c>
      <c r="W7">
        <f>_xlfn.COVARIANCE.P($G$3:$G$37,$F$3:$F$37)</f>
        <v>9.719067772925173E-5</v>
      </c>
      <c r="X7">
        <f>_xlfn.COVARIANCE.P($G$3:$G$37,$G$3:$G$37)</f>
        <v>1.5934231760577702E-3</v>
      </c>
      <c r="Y7">
        <f>_xlfn.COVARIANCE.P($G$3:$G$37,$H$3:$H$37)</f>
        <v>4.5438410564261223E-4</v>
      </c>
      <c r="Z7">
        <f>_xlfn.COVARIANCE.P($G$3:$G$37,$I$3:$I$37)</f>
        <v>4.5943958481231085E-4</v>
      </c>
    </row>
    <row r="8" spans="1:26">
      <c r="A8" s="4">
        <v>45108</v>
      </c>
      <c r="B8">
        <f>(Price!B8/Price!B7)-1</f>
        <v>3.2733261144197945E-2</v>
      </c>
      <c r="C8">
        <f>(Price!C8/Price!C7)-1</f>
        <v>-5.2170692346358405E-2</v>
      </c>
      <c r="D8">
        <f>(Price!D8/Price!D7)-1</f>
        <v>6.1088268275751645E-2</v>
      </c>
      <c r="E8">
        <f>(Price!E8/Price!E7)-1</f>
        <v>-2.807460656693217E-2</v>
      </c>
      <c r="F8">
        <f>(Price!F8/Price!F7)-1</f>
        <v>4.9333991119882015E-4</v>
      </c>
      <c r="G8">
        <f>(Price!G8/Price!G7)-1</f>
        <v>2.2886632635889192E-2</v>
      </c>
      <c r="H8">
        <f>(Price!H8/Price!H7)-1</f>
        <v>3.8873038516405112E-2</v>
      </c>
      <c r="I8">
        <f>(Price!I8/Price!I7)-1</f>
        <v>2.7034482758620637E-2</v>
      </c>
      <c r="J8">
        <f>SUMPRODUCT('Model 5'!$B$4:$I$4,B8:I8)</f>
        <v>-1.1604971922121227E-2</v>
      </c>
      <c r="L8" t="s">
        <v>7</v>
      </c>
      <c r="M8">
        <f>AVERAGE(H$2:H$37)</f>
        <v>8.8047362819223263E-3</v>
      </c>
      <c r="N8">
        <f>_xlfn.STDEV.S(H$2:H$37)</f>
        <v>3.2258919913132122E-2</v>
      </c>
      <c r="O8">
        <f>MIN(H$2:H$37)</f>
        <v>-4.5049424728569099E-2</v>
      </c>
      <c r="P8">
        <f>MAX(H$2:H$37)</f>
        <v>8.2366589327146134E-2</v>
      </c>
      <c r="R8" t="s">
        <v>7</v>
      </c>
      <c r="S8">
        <f>_xlfn.COVARIANCE.P($H$3:$H$37,$B$3:$B$37)</f>
        <v>7.7961172881136189E-4</v>
      </c>
      <c r="T8">
        <f>_xlfn.COVARIANCE.P($H$3:$H$37,$C$3:$C$37)</f>
        <v>5.9631351571464187E-5</v>
      </c>
      <c r="U8">
        <f>_xlfn.COVARIANCE.P($H$3:$H$37,$D$3:$D$37)</f>
        <v>1.1820069603220092E-3</v>
      </c>
      <c r="V8">
        <f>_xlfn.COVARIANCE.P($H$3:$H$37,$E$3:$E$37)</f>
        <v>9.2454387938127678E-4</v>
      </c>
      <c r="W8">
        <f>_xlfn.COVARIANCE.P($H$3:$H$37,$F$3:$F$37)</f>
        <v>8.7197035594369397E-5</v>
      </c>
      <c r="X8">
        <f>_xlfn.COVARIANCE.P($H$3:$H$37,$G$3:$G$37)</f>
        <v>4.5438410564261223E-4</v>
      </c>
      <c r="Y8">
        <f>_xlfn.COVARIANCE.P($H$3:$H$37,$H$3:$H$37)</f>
        <v>1.0109054021343901E-3</v>
      </c>
      <c r="Z8">
        <f>_xlfn.COVARIANCE.P($H$3:$H$37,$I$3:$I$37)</f>
        <v>1.0126275039245281E-3</v>
      </c>
    </row>
    <row r="9" spans="1:26">
      <c r="A9" s="4">
        <v>45139</v>
      </c>
      <c r="B9">
        <f>(Price!B9/Price!B8)-1</f>
        <v>-1.6251993272024312E-2</v>
      </c>
      <c r="C9">
        <f>(Price!C9/Price!C8)-1</f>
        <v>-2.0654813408881534E-2</v>
      </c>
      <c r="D9">
        <f>(Price!D9/Price!D8)-1</f>
        <v>-5.0827839565195432E-2</v>
      </c>
      <c r="E9">
        <f>(Price!E9/Price!E8)-1</f>
        <v>-3.4082958520739615E-2</v>
      </c>
      <c r="F9">
        <f>(Price!F9/Price!F8)-1</f>
        <v>1.4792899408282434E-3</v>
      </c>
      <c r="G9">
        <f>(Price!G9/Price!G8)-1</f>
        <v>-1.2777625445571594E-2</v>
      </c>
      <c r="H9">
        <f>(Price!H9/Price!H8)-1</f>
        <v>-4.3940954342602034E-2</v>
      </c>
      <c r="I9">
        <f>(Price!I9/Price!I8)-1</f>
        <v>-3.9349986569970352E-2</v>
      </c>
      <c r="J9">
        <f>SUMPRODUCT('Model 5'!$B$4:$I$4,B9:I9)</f>
        <v>-1.2939148028305227E-2</v>
      </c>
      <c r="L9" t="s">
        <v>8</v>
      </c>
      <c r="M9">
        <f>AVERAGE(I$2:I$37)</f>
        <v>8.8459481401847121E-3</v>
      </c>
      <c r="N9">
        <f>_xlfn.STDEV.S(I$2:I$37)</f>
        <v>3.3638299697600578E-2</v>
      </c>
      <c r="O9">
        <f>MIN(I$2:I$37)</f>
        <v>-5.2732273107736427E-2</v>
      </c>
      <c r="P9">
        <f>MAX(I$2:I$37)</f>
        <v>8.2187686790197167E-2</v>
      </c>
      <c r="R9" t="s">
        <v>8</v>
      </c>
      <c r="S9">
        <f>_xlfn.COVARIANCE.P($I$3:$I$37,$B$3:$B$37)</f>
        <v>7.1944171413783006E-4</v>
      </c>
      <c r="T9">
        <f>_xlfn.COVARIANCE.P($I$3:$I$37,$C$3:$C$37)</f>
        <v>6.2435880600150749E-5</v>
      </c>
      <c r="U9">
        <f>_xlfn.COVARIANCE.P($I$3:$I$37,$D$3:$D$37)</f>
        <v>1.0830808167820018E-3</v>
      </c>
      <c r="V9">
        <f>_xlfn.COVARIANCE.P($I$3:$I$37,$E$3:$E$37)</f>
        <v>9.289105366615234E-4</v>
      </c>
      <c r="W9">
        <f>_xlfn.COVARIANCE.P($I$3:$I$37,$F$3:$F$37)</f>
        <v>9.7613500429306055E-5</v>
      </c>
      <c r="X9">
        <f>_xlfn.COVARIANCE.P($I$3:$I$37,$G$3:$G$37)</f>
        <v>4.5943958481231085E-4</v>
      </c>
      <c r="Y9">
        <f>_xlfn.COVARIANCE.P($I$3:$I$37,$H$3:$H$37)</f>
        <v>1.0126275039245281E-3</v>
      </c>
      <c r="Z9">
        <f>_xlfn.COVARIANCE.P($I$3:$I$37,$I$3:$I$37)</f>
        <v>1.099205629215721E-3</v>
      </c>
    </row>
    <row r="10" spans="1:26">
      <c r="A10" s="4">
        <v>45170</v>
      </c>
      <c r="B10">
        <f>(Price!B10/Price!B9)-1</f>
        <v>-5.0782724547574154E-2</v>
      </c>
      <c r="C10">
        <f>(Price!C10/Price!C9)-1</f>
        <v>0.10818821785846611</v>
      </c>
      <c r="D10">
        <f>(Price!D10/Price!D9)-1</f>
        <v>-6.2934096813530571E-2</v>
      </c>
      <c r="E10">
        <f>(Price!E10/Price!E9)-1</f>
        <v>-8.2264072847682113E-2</v>
      </c>
      <c r="F10">
        <f>(Price!F10/Price!F9)-1</f>
        <v>-3.3234859675036477E-3</v>
      </c>
      <c r="G10">
        <f>(Price!G10/Price!G9)-1</f>
        <v>-4.7605821575380625E-2</v>
      </c>
      <c r="H10">
        <f>(Price!H10/Price!H9)-1</f>
        <v>-3.9138240574506322E-2</v>
      </c>
      <c r="I10">
        <f>(Price!I10/Price!I9)-1</f>
        <v>-3.6488186774779829E-2</v>
      </c>
      <c r="J10">
        <f>SUMPRODUCT('Model 5'!$B$4:$I$4,B10:I10)</f>
        <v>2.4481281055699682E-2</v>
      </c>
    </row>
    <row r="11" spans="1:26">
      <c r="A11" s="4">
        <v>45200</v>
      </c>
      <c r="B11">
        <f>(Price!B11/Price!B10)-1</f>
        <v>-2.1708617947038489E-2</v>
      </c>
      <c r="C11">
        <f>(Price!C11/Price!C10)-1</f>
        <v>2.8547180001543548E-3</v>
      </c>
      <c r="D11">
        <f>(Price!D11/Price!D10)-1</f>
        <v>-6.9141111236845076E-2</v>
      </c>
      <c r="E11">
        <f>(Price!E11/Price!E10)-1</f>
        <v>-5.761641673243878E-2</v>
      </c>
      <c r="F11">
        <f>(Price!F11/Price!F10)-1</f>
        <v>7.4101519081137823E-4</v>
      </c>
      <c r="G11">
        <f>(Price!G11/Price!G10)-1</f>
        <v>7.3724117818606105E-2</v>
      </c>
      <c r="H11">
        <f>(Price!H11/Price!H10)-1</f>
        <v>-3.3632286995515792E-2</v>
      </c>
      <c r="I11">
        <f>(Price!I11/Price!I10)-1</f>
        <v>-2.901915264074284E-2</v>
      </c>
      <c r="J11">
        <f>SUMPRODUCT('Model 5'!$B$4:$I$4,B11:I11)</f>
        <v>7.6070531808203612E-3</v>
      </c>
    </row>
    <row r="12" spans="1:26">
      <c r="A12" s="4">
        <v>45231</v>
      </c>
      <c r="B12">
        <f>(Price!B12/Price!B11)-1</f>
        <v>9.1343854615016706E-2</v>
      </c>
      <c r="C12">
        <f>(Price!C12/Price!C11)-1</f>
        <v>5.0212853259475887E-2</v>
      </c>
      <c r="D12">
        <f>(Price!D12/Price!D11)-1</f>
        <v>9.2025285679552482E-2</v>
      </c>
      <c r="E12">
        <f>(Price!E12/Price!E11)-1</f>
        <v>9.5477386934673447E-2</v>
      </c>
      <c r="F12">
        <f>(Price!F12/Price!F11)-1</f>
        <v>7.6514871035420207E-3</v>
      </c>
      <c r="G12">
        <f>(Price!G12/Price!G11)-1</f>
        <v>2.5313705252865359E-2</v>
      </c>
      <c r="H12">
        <f>(Price!H12/Price!H11)-1</f>
        <v>8.2366589327146134E-2</v>
      </c>
      <c r="I12">
        <f>(Price!I12/Price!I11)-1</f>
        <v>8.2187686790197167E-2</v>
      </c>
      <c r="J12">
        <f>SUMPRODUCT('Model 5'!$B$4:$I$4,B12:I12)</f>
        <v>3.3657656016480152E-2</v>
      </c>
    </row>
    <row r="13" spans="1:26">
      <c r="A13" s="4">
        <v>45261</v>
      </c>
      <c r="B13">
        <f>(Price!B13/Price!B12)-1</f>
        <v>4.1432953549517926E-2</v>
      </c>
      <c r="C13">
        <f>(Price!C13/Price!C12)-1</f>
        <v>1.8192029693299583E-2</v>
      </c>
      <c r="D13">
        <f>(Price!D13/Price!D12)-1</f>
        <v>0.11716575754202396</v>
      </c>
      <c r="E13">
        <f>(Price!E13/Price!E12)-1</f>
        <v>7.9947575360419298E-2</v>
      </c>
      <c r="F13">
        <f>(Price!F13/Price!F12)-1</f>
        <v>4.7764849969380574E-3</v>
      </c>
      <c r="G13">
        <f>(Price!G13/Price!G12)-1</f>
        <v>1.2821192052980157E-2</v>
      </c>
      <c r="H13">
        <f>(Price!H13/Price!H12)-1</f>
        <v>3.5369774919614239E-2</v>
      </c>
      <c r="I13">
        <f>(Price!I13/Price!I12)-1</f>
        <v>4.0458436895884908E-2</v>
      </c>
      <c r="J13">
        <f>SUMPRODUCT('Model 5'!$B$4:$I$4,B13:I13)</f>
        <v>1.5498230256161647E-2</v>
      </c>
    </row>
    <row r="14" spans="1:26">
      <c r="A14" s="4">
        <v>45292</v>
      </c>
      <c r="B14">
        <f>(Price!B14/Price!B13)-1</f>
        <v>1.592644800235643E-2</v>
      </c>
      <c r="C14">
        <f>(Price!C14/Price!C13)-1</f>
        <v>5.2833537184929336E-2</v>
      </c>
      <c r="D14">
        <f>(Price!D14/Price!D13)-1</f>
        <v>-3.9011509142544032E-2</v>
      </c>
      <c r="E14">
        <f>(Price!E14/Price!E13)-1</f>
        <v>-2.2451456310679574E-2</v>
      </c>
      <c r="F14">
        <f>(Price!F14/Price!F13)-1</f>
        <v>3.1691857630422593E-3</v>
      </c>
      <c r="G14">
        <f>(Price!G14/Price!G13)-1</f>
        <v>-1.4228173876654315E-2</v>
      </c>
      <c r="H14">
        <f>(Price!H14/Price!H13)-1</f>
        <v>-1.7080745341614967E-2</v>
      </c>
      <c r="I14">
        <f>(Price!I14/Price!I13)-1</f>
        <v>-4.5122760451226096E-3</v>
      </c>
      <c r="J14">
        <f>SUMPRODUCT('Model 5'!$B$4:$I$4,B14:I14)</f>
        <v>1.6576040888639565E-2</v>
      </c>
    </row>
    <row r="15" spans="1:26">
      <c r="A15" s="4">
        <v>45323</v>
      </c>
      <c r="B15">
        <f>(Price!B15/Price!B14)-1</f>
        <v>5.2186878727634278E-2</v>
      </c>
      <c r="C15">
        <f>(Price!C15/Price!C14)-1</f>
        <v>1.141230068337129E-2</v>
      </c>
      <c r="D15">
        <f>(Price!D15/Price!D14)-1</f>
        <v>5.6252592285358727E-2</v>
      </c>
      <c r="E15">
        <f>(Price!E15/Price!E14)-1</f>
        <v>-2.5656941858059112E-2</v>
      </c>
      <c r="F15">
        <f>(Price!F15/Price!F14)-1</f>
        <v>-6.8043742405832219E-3</v>
      </c>
      <c r="G15">
        <f>(Price!G15/Price!G14)-1</f>
        <v>4.5635447068188562E-3</v>
      </c>
      <c r="H15">
        <f>(Price!H15/Price!H14)-1</f>
        <v>2.9138142882218832E-2</v>
      </c>
      <c r="I15">
        <f>(Price!I15/Price!I14)-1</f>
        <v>2.9862684975336506E-2</v>
      </c>
      <c r="J15">
        <f>SUMPRODUCT('Model 5'!$B$4:$I$4,B15:I15)</f>
        <v>5.0862172468775172E-3</v>
      </c>
    </row>
    <row r="16" spans="1:26">
      <c r="A16" s="4">
        <v>45352</v>
      </c>
      <c r="B16">
        <f>(Price!B16/Price!B15)-1</f>
        <v>2.9503227838135748E-2</v>
      </c>
      <c r="C16">
        <f>(Price!C16/Price!C15)-1</f>
        <v>-4.3737753654196965E-2</v>
      </c>
      <c r="D16">
        <f>(Price!D16/Price!D15)-1</f>
        <v>3.2248564276248004E-2</v>
      </c>
      <c r="E16">
        <f>(Price!E16/Price!E15)-1</f>
        <v>4.6719048630281534E-3</v>
      </c>
      <c r="F16">
        <f>(Price!F16/Price!F15)-1</f>
        <v>4.8935649620762689E-4</v>
      </c>
      <c r="G16">
        <f>(Price!G16/Price!G15)-1</f>
        <v>8.6683218002218565E-2</v>
      </c>
      <c r="H16">
        <f>(Price!H16/Price!H15)-1</f>
        <v>2.8483711410540513E-2</v>
      </c>
      <c r="I16">
        <f>(Price!I16/Price!I15)-1</f>
        <v>3.3786407766990267E-2</v>
      </c>
      <c r="J16">
        <f>SUMPRODUCT('Model 5'!$B$4:$I$4,B16:I16)</f>
        <v>8.9450540676571646E-4</v>
      </c>
    </row>
    <row r="17" spans="1:10">
      <c r="A17" s="4">
        <v>45383</v>
      </c>
      <c r="B17">
        <f>(Price!B17/Price!B16)-1</f>
        <v>-4.0319651289502434E-2</v>
      </c>
      <c r="C17">
        <f>(Price!C17/Price!C16)-1</f>
        <v>6.1518170470336031E-2</v>
      </c>
      <c r="D17">
        <f>(Price!D17/Price!D16)-1</f>
        <v>-6.8473609129814594E-2</v>
      </c>
      <c r="E17">
        <f>(Price!E17/Price!E16)-1</f>
        <v>-6.7638976960473496E-2</v>
      </c>
      <c r="F17">
        <f>(Price!F17/Price!F16)-1</f>
        <v>-7.7035950110050377E-3</v>
      </c>
      <c r="G17">
        <f>(Price!G17/Price!G16)-1</f>
        <v>2.9895002916585645E-2</v>
      </c>
      <c r="H17">
        <f>(Price!H17/Price!H16)-1</f>
        <v>-2.3217247097844118E-2</v>
      </c>
      <c r="I17">
        <f>(Price!I17/Price!I16)-1</f>
        <v>-3.243175557225153E-2</v>
      </c>
      <c r="J17">
        <f>SUMPRODUCT('Model 5'!$B$4:$I$4,B17:I17)</f>
        <v>1.7912924632169622E-2</v>
      </c>
    </row>
    <row r="18" spans="1:10">
      <c r="A18" s="4">
        <v>45413</v>
      </c>
      <c r="B18">
        <f>(Price!B18/Price!B17)-1</f>
        <v>5.0579704370691925E-2</v>
      </c>
      <c r="C18">
        <f>(Price!C18/Price!C17)-1</f>
        <v>6.3011692662687802E-2</v>
      </c>
      <c r="D18">
        <f>(Price!D18/Price!D17)-1</f>
        <v>5.0382848392036772E-2</v>
      </c>
      <c r="E18">
        <f>(Price!E18/Price!E17)-1</f>
        <v>2.5277714803899398E-2</v>
      </c>
      <c r="F18">
        <f>(Price!F18/Price!F17)-1</f>
        <v>3.9433148490448655E-3</v>
      </c>
      <c r="G18">
        <f>(Price!G18/Price!G17)-1</f>
        <v>1.6189172605843183E-2</v>
      </c>
      <c r="H18">
        <f>(Price!H18/Price!H17)-1</f>
        <v>4.0237691001697939E-2</v>
      </c>
      <c r="I18">
        <f>(Price!I18/Price!I17)-1</f>
        <v>5.0601785945386446E-2</v>
      </c>
      <c r="J18">
        <f>SUMPRODUCT('Model 5'!$B$4:$I$4,B18:I18)</f>
        <v>3.1239615632369929E-2</v>
      </c>
    </row>
    <row r="19" spans="1:10">
      <c r="A19" s="4">
        <v>45444</v>
      </c>
      <c r="B19">
        <f>(Price!B19/Price!B18)-1</f>
        <v>3.1951002142708296E-2</v>
      </c>
      <c r="C19">
        <f>(Price!C19/Price!C18)-1</f>
        <v>-1.6781114984032897E-2</v>
      </c>
      <c r="D19">
        <f>(Price!D19/Price!D18)-1</f>
        <v>-1.399620935996515E-2</v>
      </c>
      <c r="E19">
        <f>(Price!E19/Price!E18)-1</f>
        <v>1.4704256495301271E-2</v>
      </c>
      <c r="F19">
        <f>(Price!F19/Price!F18)-1</f>
        <v>2.2094022339511632E-3</v>
      </c>
      <c r="G19">
        <f>(Price!G19/Price!G18)-1</f>
        <v>-1.3469577333953264E-3</v>
      </c>
      <c r="H19">
        <f>(Price!H19/Price!H18)-1</f>
        <v>-1.5831565203199061E-2</v>
      </c>
      <c r="I19">
        <f>(Price!I19/Price!I18)-1</f>
        <v>-3.5107169253510873E-2</v>
      </c>
      <c r="J19">
        <f>SUMPRODUCT('Model 5'!$B$4:$I$4,B19:I19)</f>
        <v>-8.6724068505528076E-3</v>
      </c>
    </row>
    <row r="20" spans="1:10">
      <c r="A20" s="4">
        <v>45474</v>
      </c>
      <c r="B20">
        <f>(Price!B20/Price!B19)-1</f>
        <v>1.2109073536437309E-2</v>
      </c>
      <c r="C20">
        <f>(Price!C20/Price!C19)-1</f>
        <v>1.1038699131763918E-2</v>
      </c>
      <c r="D20">
        <f>(Price!D20/Price!D19)-1</f>
        <v>0.10335649859529816</v>
      </c>
      <c r="E20">
        <f>(Price!E20/Price!E19)-1</f>
        <v>3.3013728481150695E-2</v>
      </c>
      <c r="F20">
        <f>(Price!F20/Price!F19)-1</f>
        <v>8.4507042253521014E-3</v>
      </c>
      <c r="G20">
        <f>(Price!G20/Price!G19)-1</f>
        <v>5.3671922236175229E-2</v>
      </c>
      <c r="H20">
        <f>(Price!H20/Price!H19)-1</f>
        <v>2.6202321724709821E-2</v>
      </c>
      <c r="I20">
        <f>(Price!I20/Price!I19)-1</f>
        <v>2.5915996425379895E-2</v>
      </c>
      <c r="J20">
        <f>SUMPRODUCT('Model 5'!$B$4:$I$4,B20:I20)</f>
        <v>1.8217684757577488E-2</v>
      </c>
    </row>
    <row r="21" spans="1:10">
      <c r="A21" s="4">
        <v>45505</v>
      </c>
      <c r="B21">
        <f>(Price!B21/Price!B20)-1</f>
        <v>2.3365588860042585E-2</v>
      </c>
      <c r="C21">
        <f>(Price!C21/Price!C20)-1</f>
        <v>2.4775862430973961E-2</v>
      </c>
      <c r="D21">
        <f>(Price!D21/Price!D20)-1</f>
        <v>-1.6885553470919357E-2</v>
      </c>
      <c r="E21">
        <f>(Price!E21/Price!E20)-1</f>
        <v>1.7719649825967743E-2</v>
      </c>
      <c r="F21">
        <f>(Price!F21/Price!F20)-1</f>
        <v>5.5865921787707773E-3</v>
      </c>
      <c r="G21">
        <f>(Price!G21/Price!G20)-1</f>
        <v>2.0922533657029341E-2</v>
      </c>
      <c r="H21">
        <f>(Price!H21/Price!H20)-1</f>
        <v>2.4078862314156346E-2</v>
      </c>
      <c r="I21">
        <f>(Price!I21/Price!I20)-1</f>
        <v>3.2603285216525668E-2</v>
      </c>
      <c r="J21">
        <f>SUMPRODUCT('Model 5'!$B$4:$I$4,B21:I21)</f>
        <v>1.7046592737376159E-2</v>
      </c>
    </row>
    <row r="22" spans="1:10">
      <c r="A22" s="4">
        <v>45536</v>
      </c>
      <c r="B22">
        <f>(Price!B22/Price!B21)-1</f>
        <v>1.7882486517172946E-2</v>
      </c>
      <c r="C22">
        <f>(Price!C22/Price!C21)-1</f>
        <v>-8.646300735550172E-3</v>
      </c>
      <c r="D22">
        <f>(Price!D22/Price!D21)-1</f>
        <v>3.6804798255178905E-3</v>
      </c>
      <c r="E22">
        <f>(Price!E22/Price!E21)-1</f>
        <v>1.6685666908487828E-2</v>
      </c>
      <c r="F22">
        <f>(Price!F22/Price!F21)-1</f>
        <v>4.2270531400967482E-3</v>
      </c>
      <c r="G22">
        <f>(Price!G22/Price!G21)-1</f>
        <v>5.0888494963033493E-2</v>
      </c>
      <c r="H22">
        <f>(Price!H22/Price!H21)-1</f>
        <v>2.1619062647940668E-2</v>
      </c>
      <c r="I22">
        <f>(Price!I22/Price!I21)-1</f>
        <v>7.8332128223668196E-3</v>
      </c>
      <c r="J22">
        <f>SUMPRODUCT('Model 5'!$B$4:$I$4,B22:I22)</f>
        <v>6.7325959468845448E-3</v>
      </c>
    </row>
    <row r="23" spans="1:10">
      <c r="A23" s="4">
        <v>45566</v>
      </c>
      <c r="B23">
        <f>(Price!B23/Price!B22)-1</f>
        <v>-8.9235917456776948E-3</v>
      </c>
      <c r="C23">
        <f>(Price!C23/Price!C22)-1</f>
        <v>5.350831869381012E-2</v>
      </c>
      <c r="D23">
        <f>(Price!D23/Price!D22)-1</f>
        <v>-1.4169948843315683E-2</v>
      </c>
      <c r="E23">
        <f>(Price!E23/Price!E22)-1</f>
        <v>-5.7594291539245557E-2</v>
      </c>
      <c r="F23">
        <f>(Price!F23/Price!F22)-1</f>
        <v>-9.5009019843657061E-3</v>
      </c>
      <c r="G23">
        <f>(Price!G23/Price!G22)-1</f>
        <v>4.2993499547436809E-2</v>
      </c>
      <c r="H23">
        <f>(Price!H23/Price!H22)-1</f>
        <v>-4.4640098856966182E-2</v>
      </c>
      <c r="I23">
        <f>(Price!I23/Price!I22)-1</f>
        <v>-5.2732273107736427E-2</v>
      </c>
      <c r="J23">
        <f>SUMPRODUCT('Model 5'!$B$4:$I$4,B23:I23)</f>
        <v>1.4590052806986161E-2</v>
      </c>
    </row>
    <row r="24" spans="1:10">
      <c r="A24" s="4">
        <v>45597</v>
      </c>
      <c r="B24">
        <f>(Price!B24/Price!B23)-1</f>
        <v>5.9633511536297146E-2</v>
      </c>
      <c r="C24">
        <f>(Price!C24/Price!C23)-1</f>
        <v>1.3987523050967177E-2</v>
      </c>
      <c r="D24">
        <f>(Price!D24/Price!D23)-1</f>
        <v>0.11071822189566505</v>
      </c>
      <c r="E24">
        <f>(Price!E24/Price!E23)-1</f>
        <v>1.6441319632233498E-2</v>
      </c>
      <c r="F24">
        <f>(Price!F24/Price!F23)-1</f>
        <v>-4.8567265662946557E-4</v>
      </c>
      <c r="G24">
        <f>(Price!G24/Price!G23)-1</f>
        <v>-3.1241371149066999E-2</v>
      </c>
      <c r="H24">
        <f>(Price!H24/Price!H23)-1</f>
        <v>-2.2635408245755828E-3</v>
      </c>
      <c r="I24">
        <f>(Price!I24/Price!I23)-1</f>
        <v>-3.1557687452663519E-3</v>
      </c>
      <c r="J24">
        <f>SUMPRODUCT('Model 5'!$B$4:$I$4,B24:I24)</f>
        <v>8.0969306434196643E-4</v>
      </c>
    </row>
    <row r="25" spans="1:10">
      <c r="A25" s="4">
        <v>45627</v>
      </c>
      <c r="B25">
        <f>(Price!B25/Price!B24)-1</f>
        <v>-2.7333831217326243E-2</v>
      </c>
      <c r="C25">
        <f>(Price!C25/Price!C24)-1</f>
        <v>-1.0911834697312606E-2</v>
      </c>
      <c r="D25">
        <f>(Price!D25/Price!D24)-1</f>
        <v>-8.6451399512134652E-2</v>
      </c>
      <c r="E25">
        <f>(Price!E25/Price!E24)-1</f>
        <v>-7.0660849207193843E-2</v>
      </c>
      <c r="F25">
        <f>(Price!F25/Price!F24)-1</f>
        <v>-4.1302235179785374E-3</v>
      </c>
      <c r="G25">
        <f>(Price!G25/Price!G24)-1</f>
        <v>-1.4088521519605934E-2</v>
      </c>
      <c r="H25">
        <f>(Price!H25/Price!H24)-1</f>
        <v>-4.5049424728569099E-2</v>
      </c>
      <c r="I25">
        <f>(Price!I25/Price!I24)-1</f>
        <v>-4.2547802963150527E-2</v>
      </c>
      <c r="J25">
        <f>SUMPRODUCT('Model 5'!$B$4:$I$4,B25:I25)</f>
        <v>-1.2856358881969562E-2</v>
      </c>
    </row>
    <row r="26" spans="1:10">
      <c r="A26" s="4">
        <v>45658</v>
      </c>
      <c r="B26">
        <f>(Price!B26/Price!B25)-1</f>
        <v>2.6856401856401924E-2</v>
      </c>
      <c r="C26">
        <f>(Price!C26/Price!C25)-1</f>
        <v>2.1634098155429049E-2</v>
      </c>
      <c r="D26">
        <f>(Price!D26/Price!D25)-1</f>
        <v>2.4981897175959444E-2</v>
      </c>
      <c r="E26">
        <f>(Price!E26/Price!E25)-1</f>
        <v>4.9238520554220067E-3</v>
      </c>
      <c r="F26">
        <f>(Price!F26/Price!F25)-1</f>
        <v>3.7814101000244182E-3</v>
      </c>
      <c r="G26">
        <f>(Price!G26/Price!G25)-1</f>
        <v>6.7856110353942123E-2</v>
      </c>
      <c r="H26">
        <f>(Price!H26/Price!H25)-1</f>
        <v>3.3768878330222352E-2</v>
      </c>
      <c r="I26">
        <f>(Price!I26/Price!I25)-1</f>
        <v>4.8009522549927297E-2</v>
      </c>
      <c r="J26">
        <f>SUMPRODUCT('Model 5'!$B$4:$I$4,B26:I26)</f>
        <v>2.3510995118193063E-2</v>
      </c>
    </row>
    <row r="27" spans="1:10">
      <c r="A27" s="4">
        <v>45689</v>
      </c>
      <c r="B27">
        <f>(Price!B27/Price!B26)-1</f>
        <v>-1.2694825695390821E-2</v>
      </c>
      <c r="C27">
        <f>(Price!C27/Price!C26)-1</f>
        <v>-2.7034789101839873E-2</v>
      </c>
      <c r="D27">
        <f>(Price!D27/Price!D26)-1</f>
        <v>-5.2234192864712092E-2</v>
      </c>
      <c r="E27">
        <f>(Price!E27/Price!E26)-1</f>
        <v>5.3213309024612521E-2</v>
      </c>
      <c r="F27">
        <f>(Price!F27/Price!F26)-1</f>
        <v>4.0102078016770459E-3</v>
      </c>
      <c r="G27">
        <f>(Price!G27/Price!G26)-1</f>
        <v>1.8216274752475226E-2</v>
      </c>
      <c r="H27">
        <f>(Price!H27/Price!H26)-1</f>
        <v>1.8548916611950128E-2</v>
      </c>
      <c r="I27">
        <f>(Price!I27/Price!I26)-1</f>
        <v>2.9530540131246896E-2</v>
      </c>
      <c r="J27">
        <f>SUMPRODUCT('Model 5'!$B$4:$I$4,B27:I27)</f>
        <v>-2.0563823706820699E-3</v>
      </c>
    </row>
    <row r="28" spans="1:10">
      <c r="A28" s="4">
        <v>45717</v>
      </c>
      <c r="B28">
        <f>(Price!B28/Price!B27)-1</f>
        <v>-5.8551280756673041E-2</v>
      </c>
      <c r="C28">
        <f>(Price!C28/Price!C27)-1</f>
        <v>-7.7237932188047309E-2</v>
      </c>
      <c r="D28">
        <f>(Price!D28/Price!D27)-1</f>
        <v>-7.0626601444211512E-2</v>
      </c>
      <c r="E28">
        <f>(Price!E28/Price!E27)-1</f>
        <v>-1.5146597425078512E-2</v>
      </c>
      <c r="F28">
        <f>(Price!F28/Price!F27)-1</f>
        <v>1.3313967562333939E-3</v>
      </c>
      <c r="G28">
        <f>(Price!G28/Price!G27)-1</f>
        <v>9.4465757587267829E-2</v>
      </c>
      <c r="H28">
        <f>(Price!H28/Price!H27)-1</f>
        <v>8.058017727639033E-4</v>
      </c>
      <c r="I28">
        <f>(Price!I28/Price!I27)-1</f>
        <v>1.8386859524393007E-3</v>
      </c>
      <c r="J28">
        <f>SUMPRODUCT('Model 5'!$B$4:$I$4,B28:I28)</f>
        <v>-1.3332436348667454E-2</v>
      </c>
    </row>
    <row r="29" spans="1:10">
      <c r="A29" s="4">
        <v>45748</v>
      </c>
      <c r="B29">
        <f>(Price!B29/Price!B28)-1</f>
        <v>-8.6701585655803992E-3</v>
      </c>
      <c r="C29">
        <f>(Price!C29/Price!C28)-1</f>
        <v>1.3968267508317034E-2</v>
      </c>
      <c r="D29">
        <f>(Price!D29/Price!D28)-1</f>
        <v>-2.3209183417715162E-2</v>
      </c>
      <c r="E29">
        <f>(Price!E29/Price!E28)-1</f>
        <v>-1.7137207514006381E-2</v>
      </c>
      <c r="F29">
        <f>(Price!F29/Price!F28)-1</f>
        <v>4.7141303033966242E-3</v>
      </c>
      <c r="G29">
        <f>(Price!G29/Price!G28)-1</f>
        <v>5.4244464496425282E-2</v>
      </c>
      <c r="H29">
        <f>(Price!H29/Price!H28)-1</f>
        <v>2.8341384863123986E-2</v>
      </c>
      <c r="I29">
        <f>(Price!I29/Price!I28)-1</f>
        <v>3.6950936008809387E-2</v>
      </c>
      <c r="J29">
        <f>SUMPRODUCT('Model 5'!$B$4:$I$4,B29:I29)</f>
        <v>1.7736720188865435E-2</v>
      </c>
    </row>
    <row r="30" spans="1:10">
      <c r="A30" s="4">
        <v>45778</v>
      </c>
      <c r="B30">
        <f>(Price!B30/Price!B29)-1</f>
        <v>6.2844880441446982E-2</v>
      </c>
      <c r="C30">
        <f>(Price!C30/Price!C29)-1</f>
        <v>9.1782867478494845E-2</v>
      </c>
      <c r="D30">
        <f>(Price!D30/Price!D29)-1</f>
        <v>5.2396592425330901E-2</v>
      </c>
      <c r="E30">
        <f>(Price!E30/Price!E29)-1</f>
        <v>-3.565440929920638E-2</v>
      </c>
      <c r="F30">
        <f>(Price!F30/Price!F29)-1</f>
        <v>-5.6544754571703493E-3</v>
      </c>
      <c r="G30">
        <f>(Price!G30/Price!G29)-1</f>
        <v>-5.5963393356806002E-4</v>
      </c>
      <c r="H30">
        <f>(Price!H30/Price!H29)-1</f>
        <v>4.8230504227998683E-2</v>
      </c>
      <c r="I30">
        <f>(Price!I30/Price!I29)-1</f>
        <v>4.7905604719764128E-2</v>
      </c>
      <c r="J30">
        <f>SUMPRODUCT('Model 5'!$B$4:$I$4,B30:I30)</f>
        <v>3.4243969841659359E-2</v>
      </c>
    </row>
    <row r="31" spans="1:10">
      <c r="A31" s="4">
        <v>45809</v>
      </c>
      <c r="B31">
        <f>(Price!B31/Price!B30)-1</f>
        <v>4.8287212202446694E-2</v>
      </c>
      <c r="C31">
        <f>(Price!C31/Price!C30)-1</f>
        <v>6.2664945772572311E-2</v>
      </c>
      <c r="D31">
        <f>(Price!D31/Price!D30)-1</f>
        <v>5.2274832983859154E-2</v>
      </c>
      <c r="E31">
        <f>(Price!E31/Price!E30)-1</f>
        <v>2.2832637923041244E-2</v>
      </c>
      <c r="F31">
        <f>(Price!F31/Price!F30)-1</f>
        <v>2.5408348457349739E-3</v>
      </c>
      <c r="G31">
        <f>(Price!G31/Price!G30)-1</f>
        <v>4.0513833992092962E-3</v>
      </c>
      <c r="H31">
        <f>(Price!H31/Price!H30)-1</f>
        <v>3.2118314908873735E-2</v>
      </c>
      <c r="I31">
        <f>(Price!I31/Price!I30)-1</f>
        <v>6.5307960815224053E-3</v>
      </c>
      <c r="J31">
        <f>SUMPRODUCT('Model 5'!$B$4:$I$4,B31:I31)</f>
        <v>2.4329858522466462E-2</v>
      </c>
    </row>
    <row r="32" spans="1:10">
      <c r="A32" s="4">
        <v>45839</v>
      </c>
      <c r="B32">
        <f>(Price!B32/Price!B31)-1</f>
        <v>2.3031480132718274E-2</v>
      </c>
      <c r="C32">
        <f>(Price!C32/Price!C31)-1</f>
        <v>2.4236821115220186E-2</v>
      </c>
      <c r="D32">
        <f>(Price!D32/Price!D31)-1</f>
        <v>1.6682886139302022E-2</v>
      </c>
      <c r="E32">
        <f>(Price!E32/Price!E31)-1</f>
        <v>-1.5070821529745038E-2</v>
      </c>
      <c r="F32">
        <f>(Price!F32/Price!F31)-1</f>
        <v>-4.103306782524796E-3</v>
      </c>
      <c r="G32">
        <f>(Price!G32/Price!G31)-1</f>
        <v>-6.1345668077289472E-3</v>
      </c>
      <c r="H32">
        <f>(Price!H32/Price!H31)-1</f>
        <v>-8.9738022868722789E-3</v>
      </c>
      <c r="I32">
        <f>(Price!I32/Price!I31)-1</f>
        <v>-2.0919565946973973E-2</v>
      </c>
      <c r="J32">
        <f>SUMPRODUCT('Model 5'!$B$4:$I$4,B32:I32)</f>
        <v>3.6822653749259623E-3</v>
      </c>
    </row>
    <row r="33" spans="1:10">
      <c r="A33" s="4">
        <v>45870</v>
      </c>
      <c r="B33">
        <f>(Price!B33/Price!B32)-1</f>
        <v>2.0519554486773783E-2</v>
      </c>
      <c r="C33">
        <f>(Price!C33/Price!C32)-1</f>
        <v>9.5396541654129141E-3</v>
      </c>
      <c r="D33">
        <f>(Price!D33/Price!D32)-1</f>
        <v>7.1926705866265594E-2</v>
      </c>
      <c r="E33">
        <f>(Price!E33/Price!E32)-1</f>
        <v>-3.6815462494248496E-3</v>
      </c>
      <c r="F33">
        <f>(Price!F33/Price!F32)-1</f>
        <v>5.5744062045566256E-3</v>
      </c>
      <c r="G33">
        <f>(Price!G33/Price!G32)-1</f>
        <v>4.9874570900448889E-2</v>
      </c>
      <c r="H33">
        <f>(Price!H33/Price!H32)-1</f>
        <v>4.2354315758726502E-2</v>
      </c>
      <c r="I33">
        <f>(Price!I33/Price!I32)-1</f>
        <v>4.5246800731261416E-2</v>
      </c>
      <c r="J33">
        <f>SUMPRODUCT('Model 5'!$B$4:$I$4,B33:I33)</f>
        <v>1.7531742034752808E-2</v>
      </c>
    </row>
    <row r="34" spans="1:10">
      <c r="A34" s="4">
        <v>45901</v>
      </c>
      <c r="B34">
        <f>(Price!B34/Price!B33)-1</f>
        <v>3.2757150608480057E-2</v>
      </c>
      <c r="C34">
        <f>(Price!C34/Price!C33)-1</f>
        <v>5.2542075736325522E-2</v>
      </c>
      <c r="D34">
        <f>(Price!D34/Price!D33)-1</f>
        <v>2.8872730365267829E-2</v>
      </c>
      <c r="E34">
        <f>(Price!E34/Price!E33)-1</f>
        <v>3.1986143187067162E-2</v>
      </c>
      <c r="F34">
        <f>(Price!F34/Price!F33)-1</f>
        <v>-2.410219329960217E-4</v>
      </c>
      <c r="G34">
        <f>(Price!G34/Price!G33)-1</f>
        <v>0.11758417958311074</v>
      </c>
      <c r="H34">
        <f>(Price!H34/Price!H33)-1</f>
        <v>2.9284012890570033E-2</v>
      </c>
      <c r="I34">
        <f>(Price!I34/Price!I33)-1</f>
        <v>2.0660253607345913E-2</v>
      </c>
      <c r="J34">
        <f>SUMPRODUCT('Model 5'!$B$4:$I$4,B34:I34)</f>
        <v>3.6842831511587959E-2</v>
      </c>
    </row>
    <row r="35" spans="1:10">
      <c r="A35" s="4">
        <v>45931</v>
      </c>
      <c r="B35">
        <f>(Price!B35/Price!B34)-1</f>
        <v>2.38374013029512E-2</v>
      </c>
      <c r="C35">
        <f>(Price!C35/Price!C34)-1</f>
        <v>4.7803854289854675E-2</v>
      </c>
      <c r="D35">
        <f>(Price!D35/Price!D34)-1</f>
        <v>1.7647545048768309E-2</v>
      </c>
      <c r="E35">
        <f>(Price!E35/Price!E34)-1</f>
        <v>1.0294282197605531E-2</v>
      </c>
      <c r="F35">
        <f>(Price!F35/Price!F34)-1</f>
        <v>2.4108003857303828E-4</v>
      </c>
      <c r="G35">
        <f>(Price!G35/Price!G34)-1</f>
        <v>3.5586688046811199E-2</v>
      </c>
      <c r="H35">
        <f>(Price!H35/Price!H34)-1</f>
        <v>1.5927035121154454E-2</v>
      </c>
      <c r="I35">
        <f>(Price!I35/Price!I34)-1</f>
        <v>1.1995287565599089E-2</v>
      </c>
      <c r="J35">
        <f>SUMPRODUCT('Model 5'!$B$4:$I$4,B35:I35)</f>
        <v>2.2906093628189753E-2</v>
      </c>
    </row>
    <row r="36" spans="1:10">
      <c r="A36" s="4">
        <v>45962</v>
      </c>
      <c r="B36">
        <f>(Price!B36/Price!B35)-1</f>
        <v>1.9499750755065381E-3</v>
      </c>
      <c r="C36">
        <f>(Price!C36/Price!C35)-1</f>
        <v>-1.5610345430556283E-2</v>
      </c>
      <c r="D36">
        <f>(Price!D36/Price!D35)-1</f>
        <v>1.0234333752995317E-2</v>
      </c>
      <c r="E36">
        <f>(Price!E36/Price!E35)-1</f>
        <v>-8.860338907964449E-4</v>
      </c>
      <c r="F36">
        <f>(Price!F36/Price!F35)-1</f>
        <v>1.2051096649794424E-3</v>
      </c>
      <c r="G36">
        <f>(Price!G36/Price!G35)-1</f>
        <v>5.3678148429859851E-2</v>
      </c>
      <c r="H36">
        <f>(Price!H36/Price!H35)-1</f>
        <v>4.1538255393274159E-3</v>
      </c>
      <c r="I36">
        <f>(Price!I36/Price!I35)-1</f>
        <v>7.408191342999304E-3</v>
      </c>
      <c r="J36">
        <f>SUMPRODUCT('Model 5'!$B$4:$I$4,B36:I36)</f>
        <v>3.3750565357213557E-3</v>
      </c>
    </row>
    <row r="37" spans="1:10">
      <c r="A37" s="4">
        <v>45992</v>
      </c>
      <c r="B37">
        <f>(Price!B37/Price!B36)-1</f>
        <v>7.316466439368785E-4</v>
      </c>
      <c r="C37">
        <f>(Price!C37/Price!C36)-1</f>
        <v>6.8954380298749118E-3</v>
      </c>
      <c r="D37">
        <f>(Price!D37/Price!D36)-1</f>
        <v>3.5376884422111399E-3</v>
      </c>
      <c r="E37">
        <f>(Price!E37/Price!E36)-1</f>
        <v>-1.2748032368916862E-2</v>
      </c>
      <c r="F37">
        <f>(Price!F37/Price!F36)-1</f>
        <v>-2.6480500722195766E-3</v>
      </c>
      <c r="G37">
        <f>(Price!G37/Price!G36)-1</f>
        <v>-2.5781169433845008E-3</v>
      </c>
      <c r="H37">
        <f>(Price!H37/Price!H36)-1</f>
        <v>1.7347211102214377E-3</v>
      </c>
      <c r="I37">
        <f>(Price!I37/Price!I36)-1</f>
        <v>3.7819098644815696E-3</v>
      </c>
      <c r="J37">
        <f>SUMPRODUCT('Model 5'!$B$4:$I$4,B37:I37)</f>
        <v>1.2701794257617535E-3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E717-42B7-4D9D-A33D-AE542355998B}">
  <dimension ref="A1:Q62"/>
  <sheetViews>
    <sheetView zoomScale="90" zoomScaleNormal="90" workbookViewId="0">
      <selection activeCell="A3" sqref="A3:I3"/>
    </sheetView>
  </sheetViews>
  <sheetFormatPr defaultRowHeight="14.75"/>
  <cols>
    <col min="1" max="1" width="25.90625" customWidth="1"/>
  </cols>
  <sheetData>
    <row r="1" spans="1:17" ht="14.75" customHeight="1">
      <c r="A1" s="5" t="s">
        <v>14</v>
      </c>
      <c r="K1" s="1"/>
      <c r="L1" s="1"/>
      <c r="M1" s="1"/>
      <c r="N1" s="1"/>
      <c r="O1" s="1"/>
      <c r="P1" s="1"/>
      <c r="Q1" s="1"/>
    </row>
    <row r="2" spans="1:17">
      <c r="K2" s="1"/>
      <c r="L2" s="1"/>
      <c r="M2" s="1"/>
      <c r="N2" s="1"/>
      <c r="O2" s="1"/>
      <c r="P2" s="1"/>
      <c r="Q2" s="1"/>
    </row>
    <row r="3" spans="1:17" ht="14.75" customHeight="1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K3" t="s">
        <v>33</v>
      </c>
      <c r="L3" s="1"/>
      <c r="M3" s="1"/>
      <c r="N3" s="1"/>
      <c r="O3" s="1"/>
      <c r="P3" s="1"/>
      <c r="Q3" s="1"/>
    </row>
    <row r="4" spans="1:17">
      <c r="A4" t="s">
        <v>15</v>
      </c>
      <c r="B4">
        <v>0.19999999999999996</v>
      </c>
      <c r="C4">
        <v>0.4</v>
      </c>
      <c r="D4">
        <v>0</v>
      </c>
      <c r="E4">
        <v>0</v>
      </c>
      <c r="F4">
        <v>0</v>
      </c>
      <c r="G4">
        <v>0.4</v>
      </c>
      <c r="H4">
        <v>0</v>
      </c>
      <c r="I4">
        <v>0</v>
      </c>
      <c r="K4" t="s">
        <v>34</v>
      </c>
      <c r="L4" s="1"/>
      <c r="M4" s="1"/>
      <c r="N4" s="1"/>
      <c r="O4" s="1"/>
      <c r="P4" s="1"/>
      <c r="Q4" s="1"/>
    </row>
    <row r="5" spans="1:17">
      <c r="K5" t="s">
        <v>35</v>
      </c>
      <c r="L5" s="1"/>
      <c r="M5" s="1"/>
      <c r="N5" s="1"/>
      <c r="O5" s="1"/>
      <c r="P5" s="1"/>
      <c r="Q5" s="1"/>
    </row>
    <row r="6" spans="1:17">
      <c r="A6" t="str">
        <f>Returns!$M$1</f>
        <v>Avg Return</v>
      </c>
      <c r="B6">
        <f>Returns!$M$2</f>
        <v>1.5533412831996798E-2</v>
      </c>
      <c r="C6">
        <f>Returns!$M$3</f>
        <v>1.9973903331278593E-2</v>
      </c>
      <c r="D6">
        <f>Returns!$M$4</f>
        <v>9.1398960163547906E-3</v>
      </c>
      <c r="E6">
        <f>Returns!$M$5</f>
        <v>-4.4725751363786301E-3</v>
      </c>
      <c r="F6">
        <f>Returns!$M$6</f>
        <v>3.8223440420273672E-4</v>
      </c>
      <c r="G6">
        <f>Returns!$M$7</f>
        <v>2.2972144679122151E-2</v>
      </c>
      <c r="H6">
        <f>Returns!$M$8</f>
        <v>8.8047362819223263E-3</v>
      </c>
      <c r="I6">
        <f>Returns!$M$9</f>
        <v>8.8459481401847121E-3</v>
      </c>
      <c r="K6" s="1"/>
      <c r="L6" s="1"/>
      <c r="M6" s="1"/>
      <c r="N6" s="1"/>
      <c r="O6" s="1"/>
      <c r="P6" s="1"/>
      <c r="Q6" s="1"/>
    </row>
    <row r="7" spans="1:17">
      <c r="A7" t="str">
        <f>Returns!$N$1</f>
        <v>Std Dev</v>
      </c>
      <c r="B7">
        <f>Returns!$N$2</f>
        <v>3.4051552505559725E-2</v>
      </c>
      <c r="C7">
        <f>Returns!$N$3</f>
        <v>4.1330573793612095E-2</v>
      </c>
      <c r="D7">
        <f>Returns!$N$4</f>
        <v>5.6590919009595307E-2</v>
      </c>
      <c r="E7">
        <f>Returns!$N$5</f>
        <v>4.0650618725802425E-2</v>
      </c>
      <c r="F7">
        <f>Returns!$N$6</f>
        <v>5.4280513791637956E-3</v>
      </c>
      <c r="G7">
        <f>Returns!$N$7</f>
        <v>4.050047609089158E-2</v>
      </c>
      <c r="H7">
        <f>Returns!$N$8</f>
        <v>3.2258919913132122E-2</v>
      </c>
      <c r="I7">
        <f>Returns!$N$9</f>
        <v>3.3638299697600578E-2</v>
      </c>
      <c r="K7" s="1"/>
      <c r="L7" s="1"/>
      <c r="M7" s="1"/>
      <c r="N7" s="1"/>
      <c r="O7" s="1"/>
      <c r="P7" s="1"/>
      <c r="Q7" s="1"/>
    </row>
    <row r="8" spans="1:17">
      <c r="K8" s="1"/>
      <c r="L8" s="1"/>
      <c r="M8" s="1"/>
      <c r="N8" s="1"/>
      <c r="O8" s="1"/>
      <c r="P8" s="1"/>
      <c r="Q8" s="1"/>
    </row>
    <row r="9" spans="1:17" ht="14.75" customHeight="1">
      <c r="A9" t="s">
        <v>16</v>
      </c>
      <c r="B9">
        <f>SUMPRODUCT(B4:I4,B6:I6)</f>
        <v>2.0285101770559658E-2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t="s">
        <v>17</v>
      </c>
      <c r="B10">
        <f>SUMPRODUCT(B4:I4,B7:I7)</f>
        <v>3.9542730454913411E-2</v>
      </c>
      <c r="D10" s="1"/>
      <c r="E10" s="1"/>
      <c r="F10" s="1"/>
      <c r="G10" s="1"/>
      <c r="H10" s="1"/>
      <c r="I10" s="1"/>
      <c r="J10" s="1"/>
    </row>
    <row r="11" spans="1:17">
      <c r="A11" t="s">
        <v>18</v>
      </c>
      <c r="B11">
        <f>SUM(B4:I4)</f>
        <v>1</v>
      </c>
      <c r="D11" s="1"/>
      <c r="E11" s="1"/>
      <c r="F11" s="1"/>
      <c r="G11" s="1"/>
      <c r="H11" s="1"/>
      <c r="I11" s="1"/>
      <c r="J11" s="1"/>
    </row>
    <row r="12" spans="1:17">
      <c r="D12" s="1"/>
      <c r="E12" s="1"/>
      <c r="F12" s="1"/>
      <c r="G12" s="1"/>
      <c r="H12" s="1"/>
      <c r="I12" s="1"/>
      <c r="J12" s="1"/>
    </row>
    <row r="13" spans="1:17">
      <c r="A13" t="s">
        <v>19</v>
      </c>
      <c r="B13">
        <v>0.04</v>
      </c>
      <c r="D13" s="1"/>
      <c r="E13" s="1"/>
      <c r="F13" s="1"/>
      <c r="G13" s="1"/>
      <c r="H13" s="1"/>
      <c r="I13" s="1"/>
      <c r="J13" s="1"/>
    </row>
    <row r="14" spans="1:17">
      <c r="D14" s="1"/>
      <c r="E14" s="1"/>
      <c r="F14" s="1"/>
      <c r="G14" s="1"/>
      <c r="H14" s="1"/>
      <c r="I14" s="1"/>
      <c r="J14" s="1"/>
    </row>
    <row r="16" spans="1:17">
      <c r="A16" s="5"/>
    </row>
    <row r="18" spans="1:15" ht="14.75" customHeight="1">
      <c r="L18" s="1"/>
      <c r="M18" s="1"/>
      <c r="N18" s="1"/>
      <c r="O18" s="1"/>
    </row>
    <row r="19" spans="1:15">
      <c r="L19" s="1"/>
      <c r="M19" s="1"/>
      <c r="N19" s="1"/>
      <c r="O19" s="1"/>
    </row>
    <row r="20" spans="1:15">
      <c r="L20" s="1"/>
      <c r="M20" s="1"/>
      <c r="N20" s="1"/>
      <c r="O20" s="1"/>
    </row>
    <row r="21" spans="1:15">
      <c r="K21" s="1"/>
      <c r="L21" s="1"/>
      <c r="M21" s="1"/>
      <c r="N21" s="1"/>
      <c r="O21" s="1"/>
    </row>
    <row r="22" spans="1:15">
      <c r="K22" s="1"/>
      <c r="L22" s="1"/>
      <c r="M22" s="1"/>
      <c r="N22" s="1"/>
      <c r="O22" s="1"/>
    </row>
    <row r="26" spans="1:15" ht="14.75" customHeight="1">
      <c r="E26" s="1"/>
      <c r="F26" s="1"/>
      <c r="G26" s="1"/>
      <c r="H26" s="1"/>
      <c r="I26" s="1"/>
      <c r="J26" s="1"/>
    </row>
    <row r="27" spans="1:15">
      <c r="E27" s="1"/>
      <c r="F27" s="1"/>
      <c r="G27" s="1"/>
      <c r="H27" s="1"/>
      <c r="I27" s="1"/>
      <c r="J27" s="1"/>
    </row>
    <row r="28" spans="1:15">
      <c r="E28" s="1"/>
      <c r="F28" s="1"/>
      <c r="G28" s="1"/>
      <c r="H28" s="1"/>
      <c r="I28" s="1"/>
      <c r="J28" s="1"/>
    </row>
    <row r="29" spans="1:15">
      <c r="E29" s="1"/>
      <c r="F29" s="1"/>
      <c r="G29" s="1"/>
      <c r="H29" s="1"/>
      <c r="I29" s="1"/>
      <c r="J29" s="1"/>
    </row>
    <row r="32" spans="1:15">
      <c r="A32" s="5"/>
    </row>
    <row r="42" spans="1:9">
      <c r="E42" s="1"/>
      <c r="F42" s="1"/>
      <c r="G42" s="1"/>
      <c r="H42" s="1"/>
      <c r="I42" s="1"/>
    </row>
    <row r="43" spans="1:9">
      <c r="E43" s="1"/>
      <c r="F43" s="1"/>
      <c r="G43" s="1"/>
      <c r="H43" s="1"/>
      <c r="I43" s="1"/>
    </row>
    <row r="44" spans="1:9">
      <c r="E44" s="1"/>
      <c r="F44" s="1"/>
      <c r="G44" s="1"/>
      <c r="H44" s="1"/>
      <c r="I44" s="1"/>
    </row>
    <row r="45" spans="1:9">
      <c r="E45" s="1"/>
      <c r="F45" s="1"/>
      <c r="G45" s="1"/>
      <c r="H45" s="1"/>
      <c r="I45" s="1"/>
    </row>
    <row r="46" spans="1:9">
      <c r="E46" s="1"/>
      <c r="F46" s="1"/>
      <c r="G46" s="1"/>
      <c r="H46" s="1"/>
      <c r="I46" s="1"/>
    </row>
    <row r="47" spans="1:9">
      <c r="A47" s="5"/>
    </row>
    <row r="62" spans="1:1">
      <c r="A6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114C-EDD3-4EB7-A4E2-A2C74E11D8C0}">
  <dimension ref="A1:L14"/>
  <sheetViews>
    <sheetView zoomScale="82" workbookViewId="0">
      <selection activeCell="J16" sqref="J16"/>
    </sheetView>
  </sheetViews>
  <sheetFormatPr defaultRowHeight="14.75"/>
  <cols>
    <col min="1" max="1" width="21.90625" customWidth="1"/>
  </cols>
  <sheetData>
    <row r="1" spans="1:12">
      <c r="A1" s="5" t="s">
        <v>20</v>
      </c>
    </row>
    <row r="2" spans="1:12">
      <c r="L2" t="s">
        <v>36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L3" t="s">
        <v>37</v>
      </c>
    </row>
    <row r="4" spans="1:12">
      <c r="A4" t="s">
        <v>15</v>
      </c>
      <c r="B4">
        <v>0.26028368933645685</v>
      </c>
      <c r="C4">
        <v>0</v>
      </c>
      <c r="D4">
        <v>0</v>
      </c>
      <c r="E4">
        <v>0</v>
      </c>
      <c r="F4">
        <v>0.4</v>
      </c>
      <c r="G4">
        <v>0.33971631066354302</v>
      </c>
      <c r="H4">
        <v>0</v>
      </c>
      <c r="I4">
        <v>0</v>
      </c>
      <c r="L4" t="s">
        <v>38</v>
      </c>
    </row>
    <row r="6" spans="1:12">
      <c r="A6" t="str">
        <f>Returns!$M$1</f>
        <v>Avg Return</v>
      </c>
      <c r="B6">
        <f>Returns!$M$2</f>
        <v>1.5533412831996798E-2</v>
      </c>
      <c r="C6">
        <f>Returns!$M$3</f>
        <v>1.9973903331278593E-2</v>
      </c>
      <c r="D6">
        <f>Returns!$M$4</f>
        <v>9.1398960163547906E-3</v>
      </c>
      <c r="E6">
        <f>Returns!$M$5</f>
        <v>-4.4725751363786301E-3</v>
      </c>
      <c r="F6">
        <f>Returns!$M$6</f>
        <v>3.8223440420273672E-4</v>
      </c>
      <c r="G6">
        <f>Returns!$M$7</f>
        <v>2.2972144679122151E-2</v>
      </c>
      <c r="H6">
        <f>Returns!$M$8</f>
        <v>8.8047362819223263E-3</v>
      </c>
      <c r="I6">
        <f>Returns!$M$9</f>
        <v>8.8459481401847121E-3</v>
      </c>
    </row>
    <row r="7" spans="1:12">
      <c r="A7" t="str">
        <f>Returns!$N$1</f>
        <v>Std Dev</v>
      </c>
      <c r="B7">
        <f>Returns!$N$2</f>
        <v>3.4051552505559725E-2</v>
      </c>
      <c r="C7">
        <f>Returns!$N$3</f>
        <v>4.1330573793612095E-2</v>
      </c>
      <c r="D7">
        <f>Returns!$N$4</f>
        <v>5.6590919009595307E-2</v>
      </c>
      <c r="E7">
        <f>Returns!$N$5</f>
        <v>4.0650618725802425E-2</v>
      </c>
      <c r="F7">
        <f>Returns!$N$6</f>
        <v>5.4280513791637956E-3</v>
      </c>
      <c r="G7">
        <f>Returns!$N$7</f>
        <v>4.050047609089158E-2</v>
      </c>
      <c r="H7">
        <f>Returns!$N$8</f>
        <v>3.2258919913132122E-2</v>
      </c>
      <c r="I7">
        <f>Returns!$N$9</f>
        <v>3.3638299697600578E-2</v>
      </c>
    </row>
    <row r="9" spans="1:12">
      <c r="A9" t="s">
        <v>16</v>
      </c>
      <c r="B9">
        <f>SUMPRODUCT(B4:I4,B6:I6)</f>
        <v>1.1999999999999999E-2</v>
      </c>
    </row>
    <row r="10" spans="1:12">
      <c r="A10" t="s">
        <v>17</v>
      </c>
      <c r="B10">
        <f>SUMPRODUCT(B4:I4,B7:I7)</f>
        <v>2.4792956583161396E-2</v>
      </c>
    </row>
    <row r="11" spans="1:12">
      <c r="A11" t="s">
        <v>18</v>
      </c>
      <c r="B11">
        <f>SUM(B4:I4)</f>
        <v>0.99999999999999989</v>
      </c>
      <c r="E11" s="1"/>
      <c r="F11" s="1"/>
      <c r="G11" s="1"/>
      <c r="H11" s="1"/>
      <c r="I11" s="1"/>
    </row>
    <row r="12" spans="1:12">
      <c r="E12" s="1"/>
      <c r="F12" s="1"/>
      <c r="G12" s="1"/>
      <c r="H12" s="1"/>
      <c r="I12" s="1"/>
    </row>
    <row r="13" spans="1:12">
      <c r="A13" t="s">
        <v>21</v>
      </c>
      <c r="B13">
        <v>0.01</v>
      </c>
      <c r="E13" s="1"/>
      <c r="F13" s="1"/>
      <c r="G13" s="1"/>
      <c r="H13" s="1"/>
      <c r="I13" s="1"/>
    </row>
    <row r="14" spans="1:12">
      <c r="A14" t="s">
        <v>22</v>
      </c>
      <c r="B14">
        <v>1.2E-2</v>
      </c>
      <c r="E14" s="1"/>
      <c r="F14" s="1"/>
      <c r="G14" s="1"/>
      <c r="H14" s="1"/>
      <c r="I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9F4A-38AA-453A-870F-7385641324A6}">
  <dimension ref="A1:K13"/>
  <sheetViews>
    <sheetView workbookViewId="0">
      <selection activeCell="I15" sqref="I15"/>
    </sheetView>
  </sheetViews>
  <sheetFormatPr defaultRowHeight="14.75"/>
  <cols>
    <col min="1" max="1" width="16.2265625" customWidth="1"/>
  </cols>
  <sheetData>
    <row r="1" spans="1:11">
      <c r="A1" s="5" t="s">
        <v>24</v>
      </c>
    </row>
    <row r="3" spans="1:11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K3" t="s">
        <v>39</v>
      </c>
    </row>
    <row r="4" spans="1:11">
      <c r="A4" t="s">
        <v>15</v>
      </c>
      <c r="B4">
        <v>0.19999999999999996</v>
      </c>
      <c r="C4">
        <v>0</v>
      </c>
      <c r="D4">
        <v>0</v>
      </c>
      <c r="E4">
        <v>0</v>
      </c>
      <c r="F4">
        <v>0.4</v>
      </c>
      <c r="G4">
        <v>0.4</v>
      </c>
      <c r="H4">
        <v>0</v>
      </c>
      <c r="I4">
        <v>0</v>
      </c>
      <c r="K4" t="s">
        <v>40</v>
      </c>
    </row>
    <row r="5" spans="1:11">
      <c r="K5" t="s">
        <v>41</v>
      </c>
    </row>
    <row r="6" spans="1:11">
      <c r="A6" t="str">
        <f>Returns!$M$1</f>
        <v>Avg Return</v>
      </c>
      <c r="B6">
        <f>Returns!$M$2</f>
        <v>1.5533412831996798E-2</v>
      </c>
      <c r="C6">
        <f>Returns!$M$3</f>
        <v>1.9973903331278593E-2</v>
      </c>
      <c r="D6">
        <f>Returns!$M$4</f>
        <v>9.1398960163547906E-3</v>
      </c>
      <c r="E6">
        <f>Returns!$M$5</f>
        <v>-4.4725751363786301E-3</v>
      </c>
      <c r="F6">
        <f>Returns!$M$6</f>
        <v>3.8223440420273672E-4</v>
      </c>
      <c r="G6">
        <f>Returns!$M$7</f>
        <v>2.2972144679122151E-2</v>
      </c>
      <c r="H6">
        <f>Returns!$M$8</f>
        <v>8.8047362819223263E-3</v>
      </c>
      <c r="I6">
        <f>Returns!$M$9</f>
        <v>8.8459481401847121E-3</v>
      </c>
    </row>
    <row r="7" spans="1:11">
      <c r="A7" t="str">
        <f>Returns!$N$1</f>
        <v>Std Dev</v>
      </c>
      <c r="B7">
        <f>Returns!$N$2</f>
        <v>3.4051552505559725E-2</v>
      </c>
      <c r="C7">
        <f>Returns!$N$3</f>
        <v>4.1330573793612095E-2</v>
      </c>
      <c r="D7">
        <f>Returns!$N$4</f>
        <v>5.6590919009595307E-2</v>
      </c>
      <c r="E7">
        <f>Returns!$N$5</f>
        <v>4.0650618725802425E-2</v>
      </c>
      <c r="F7">
        <f>Returns!$N$6</f>
        <v>5.4280513791637956E-3</v>
      </c>
      <c r="G7">
        <f>Returns!$N$7</f>
        <v>4.050047609089158E-2</v>
      </c>
      <c r="H7">
        <f>Returns!$N$8</f>
        <v>3.2258919913132122E-2</v>
      </c>
      <c r="I7">
        <f>Returns!$N$9</f>
        <v>3.3638299697600578E-2</v>
      </c>
    </row>
    <row r="9" spans="1:11">
      <c r="A9" t="s">
        <v>16</v>
      </c>
      <c r="B9">
        <f>SUMPRODUCT(B4:I4,B6:I6)</f>
        <v>1.2448434199729314E-2</v>
      </c>
    </row>
    <row r="10" spans="1:11">
      <c r="A10" t="s">
        <v>17</v>
      </c>
      <c r="B10">
        <f>SUMPRODUCT(B4:I4,B7:I7)</f>
        <v>2.5181721489134092E-2</v>
      </c>
    </row>
    <row r="11" spans="1:11">
      <c r="A11" t="s">
        <v>18</v>
      </c>
      <c r="B11">
        <f>SUM(B4:I4)</f>
        <v>1</v>
      </c>
      <c r="E11" s="1"/>
      <c r="F11" s="1"/>
      <c r="G11" s="1"/>
      <c r="H11" s="1"/>
      <c r="I11" s="1"/>
    </row>
    <row r="12" spans="1:11">
      <c r="A12" t="s">
        <v>23</v>
      </c>
      <c r="B12">
        <v>0.5</v>
      </c>
      <c r="E12" s="1"/>
      <c r="F12" s="1"/>
      <c r="G12" s="1"/>
      <c r="H12" s="1"/>
      <c r="I12" s="1"/>
    </row>
    <row r="13" spans="1:11">
      <c r="A13" t="s">
        <v>25</v>
      </c>
      <c r="B13">
        <f>(B12*B9)-((1-B12)*B10)</f>
        <v>-6.3666436447023887E-3</v>
      </c>
      <c r="E13" s="1"/>
      <c r="F13" s="1"/>
      <c r="G13" s="1"/>
      <c r="H13" s="1"/>
      <c r="I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77B4-D251-41A4-9FD8-E78F7DD7624A}">
  <dimension ref="A1:K14"/>
  <sheetViews>
    <sheetView tabSelected="1" workbookViewId="0">
      <selection activeCell="J10" sqref="J10"/>
    </sheetView>
  </sheetViews>
  <sheetFormatPr defaultRowHeight="14.75"/>
  <cols>
    <col min="1" max="1" width="21.04296875" customWidth="1"/>
  </cols>
  <sheetData>
    <row r="1" spans="1:11">
      <c r="E1" s="1"/>
      <c r="F1" s="1"/>
      <c r="G1" s="1"/>
      <c r="H1" s="1"/>
      <c r="I1" s="1"/>
    </row>
    <row r="2" spans="1:11">
      <c r="A2" s="5" t="s">
        <v>26</v>
      </c>
    </row>
    <row r="4" spans="1:11">
      <c r="A4" t="s">
        <v>9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K4" t="s">
        <v>42</v>
      </c>
    </row>
    <row r="5" spans="1:11">
      <c r="A5" t="s">
        <v>15</v>
      </c>
      <c r="B5">
        <v>0.20875446595057948</v>
      </c>
      <c r="C5">
        <v>0.18496613430075967</v>
      </c>
      <c r="D5">
        <v>0</v>
      </c>
      <c r="E5">
        <v>0</v>
      </c>
      <c r="F5">
        <v>0.4</v>
      </c>
      <c r="G5">
        <v>0.20334254299394466</v>
      </c>
      <c r="H5">
        <v>0</v>
      </c>
      <c r="I5">
        <v>2.93685675471619E-3</v>
      </c>
      <c r="K5" t="s">
        <v>43</v>
      </c>
    </row>
    <row r="6" spans="1:11">
      <c r="K6" t="s">
        <v>44</v>
      </c>
    </row>
    <row r="7" spans="1:11">
      <c r="A7" t="str">
        <f>Returns!$M$1</f>
        <v>Avg Return</v>
      </c>
      <c r="B7">
        <f>Returns!$M$2</f>
        <v>1.5533412831996798E-2</v>
      </c>
      <c r="C7">
        <f>Returns!$M$3</f>
        <v>1.9973903331278593E-2</v>
      </c>
      <c r="D7">
        <f>Returns!$M$4</f>
        <v>9.1398960163547906E-3</v>
      </c>
      <c r="E7">
        <f>Returns!$M$5</f>
        <v>-4.4725751363786301E-3</v>
      </c>
      <c r="F7">
        <f>Returns!$M$6</f>
        <v>3.8223440420273672E-4</v>
      </c>
      <c r="G7">
        <f>Returns!$M$7</f>
        <v>2.2972144679122151E-2</v>
      </c>
      <c r="H7">
        <f>Returns!$M$8</f>
        <v>8.8047362819223263E-3</v>
      </c>
      <c r="I7">
        <f>Returns!$M$9</f>
        <v>8.8459481401847121E-3</v>
      </c>
    </row>
    <row r="8" spans="1:11">
      <c r="A8" t="str">
        <f>Returns!$N$1</f>
        <v>Std Dev</v>
      </c>
      <c r="B8">
        <f>Returns!$N$2</f>
        <v>3.4051552505559725E-2</v>
      </c>
      <c r="C8">
        <f>Returns!$N$3</f>
        <v>4.1330573793612095E-2</v>
      </c>
      <c r="D8">
        <f>Returns!$N$4</f>
        <v>5.6590919009595307E-2</v>
      </c>
      <c r="E8">
        <f>Returns!$N$5</f>
        <v>4.0650618725802425E-2</v>
      </c>
      <c r="F8">
        <f>Returns!$N$6</f>
        <v>5.4280513791637956E-3</v>
      </c>
      <c r="G8">
        <f>Returns!$N$7</f>
        <v>4.050047609089158E-2</v>
      </c>
      <c r="H8">
        <f>Returns!$N$8</f>
        <v>3.2258919913132122E-2</v>
      </c>
      <c r="I8">
        <f>Returns!$N$9</f>
        <v>3.3638299697600578E-2</v>
      </c>
    </row>
    <row r="10" spans="1:11">
      <c r="A10" t="s">
        <v>28</v>
      </c>
      <c r="B10" cm="1">
        <f t="array" ref="B10">MMULT(B5:I5,MMULT(Returns!S2:Z9,TRANSPOSE(B5:I5)))</f>
        <v>1.9437462907812356E-4</v>
      </c>
    </row>
    <row r="11" spans="1:11">
      <c r="A11" t="s">
        <v>29</v>
      </c>
      <c r="B11">
        <f>SQRT(B10)</f>
        <v>1.3941830191123529E-2</v>
      </c>
    </row>
    <row r="12" spans="1:11">
      <c r="A12" t="s">
        <v>16</v>
      </c>
      <c r="B12">
        <f>SUMPRODUCT(B5:I5,B7:I7)</f>
        <v>1.1787252347523015E-2</v>
      </c>
    </row>
    <row r="13" spans="1:11">
      <c r="A13" t="s">
        <v>18</v>
      </c>
      <c r="B13">
        <f>SUM(B5:I5)</f>
        <v>1</v>
      </c>
    </row>
    <row r="14" spans="1:11">
      <c r="A14" t="s">
        <v>21</v>
      </c>
      <c r="B14">
        <v>0.01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115B-E430-4D97-8C0A-8D8ACEEE0CBC}">
  <dimension ref="A1:K12"/>
  <sheetViews>
    <sheetView workbookViewId="0">
      <selection activeCell="B6" sqref="B6"/>
    </sheetView>
  </sheetViews>
  <sheetFormatPr defaultRowHeight="14.75"/>
  <cols>
    <col min="1" max="1" width="25.31640625" customWidth="1"/>
  </cols>
  <sheetData>
    <row r="1" spans="1:11">
      <c r="A1" s="5" t="s">
        <v>30</v>
      </c>
    </row>
    <row r="3" spans="1:11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K3" t="s">
        <v>45</v>
      </c>
    </row>
    <row r="4" spans="1:11">
      <c r="A4" t="s">
        <v>15</v>
      </c>
      <c r="B4">
        <v>0</v>
      </c>
      <c r="C4">
        <v>0.34400823699637445</v>
      </c>
      <c r="D4">
        <v>6.5099449281284362E-3</v>
      </c>
      <c r="E4">
        <v>7.7070649203481948E-3</v>
      </c>
      <c r="F4">
        <v>0.39999999999999997</v>
      </c>
      <c r="G4">
        <v>0.13859490724954521</v>
      </c>
      <c r="H4">
        <v>1.8135829696866218E-4</v>
      </c>
      <c r="I4">
        <v>0.10299848948166863</v>
      </c>
      <c r="K4" t="s">
        <v>46</v>
      </c>
    </row>
    <row r="5" spans="1:11">
      <c r="K5" t="s">
        <v>47</v>
      </c>
    </row>
    <row r="6" spans="1:11">
      <c r="A6" t="str">
        <f>Returns!$M$1</f>
        <v>Avg Return</v>
      </c>
      <c r="B6">
        <f>Returns!$M$2</f>
        <v>1.5533412831996798E-2</v>
      </c>
      <c r="C6">
        <f>Returns!$M$3</f>
        <v>1.9973903331278593E-2</v>
      </c>
      <c r="D6">
        <f>Returns!$M$4</f>
        <v>9.1398960163547906E-3</v>
      </c>
      <c r="E6">
        <f>Returns!$M$5</f>
        <v>-4.4725751363786301E-3</v>
      </c>
      <c r="F6">
        <f>Returns!$M$6</f>
        <v>3.8223440420273672E-4</v>
      </c>
      <c r="G6">
        <f>Returns!$M$7</f>
        <v>2.2972144679122151E-2</v>
      </c>
      <c r="H6">
        <f>Returns!$M$8</f>
        <v>8.8047362819223263E-3</v>
      </c>
      <c r="I6">
        <f>Returns!$M$9</f>
        <v>8.8459481401847121E-3</v>
      </c>
    </row>
    <row r="7" spans="1:11">
      <c r="A7" t="str">
        <f>Returns!$N$1</f>
        <v>Std Dev</v>
      </c>
      <c r="B7">
        <f>Returns!$N$2</f>
        <v>3.4051552505559725E-2</v>
      </c>
      <c r="C7">
        <f>Returns!$N$3</f>
        <v>4.1330573793612095E-2</v>
      </c>
      <c r="D7">
        <f>Returns!$N$4</f>
        <v>5.6590919009595307E-2</v>
      </c>
      <c r="E7">
        <f>Returns!$N$5</f>
        <v>4.0650618725802425E-2</v>
      </c>
      <c r="F7">
        <f>Returns!$N$6</f>
        <v>5.4280513791637956E-3</v>
      </c>
      <c r="G7">
        <f>Returns!$N$7</f>
        <v>4.050047609089158E-2</v>
      </c>
      <c r="H7">
        <f>Returns!$N$8</f>
        <v>3.2258919913132122E-2</v>
      </c>
      <c r="I7">
        <f>Returns!$N$9</f>
        <v>3.3638299697600578E-2</v>
      </c>
    </row>
    <row r="9" spans="1:11">
      <c r="A9" t="s">
        <v>31</v>
      </c>
      <c r="B9">
        <f>SUMPRODUCT(B4:I4,B6:I6)</f>
        <v>1.1145649194963955E-2</v>
      </c>
    </row>
    <row r="10" spans="1:11">
      <c r="A10" t="s">
        <v>18</v>
      </c>
      <c r="B10">
        <f>SUM(B4:I4)</f>
        <v>1.0000000018730335</v>
      </c>
    </row>
    <row r="12" spans="1:11">
      <c r="A12" t="s">
        <v>32</v>
      </c>
      <c r="B12">
        <f>MIN(Returns!J3:J37)</f>
        <v>-1.3332436880246592E-2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69BA-04A1-4138-9AAA-7011A73FDA3E}">
  <dimension ref="A1:O11"/>
  <sheetViews>
    <sheetView workbookViewId="0">
      <selection activeCell="J2" sqref="J2:O7"/>
    </sheetView>
  </sheetViews>
  <sheetFormatPr defaultRowHeight="14.75"/>
  <cols>
    <col min="3" max="3" width="13.7265625" bestFit="1" customWidth="1"/>
    <col min="4" max="4" width="13.58984375" customWidth="1"/>
    <col min="5" max="5" width="14.453125" customWidth="1"/>
    <col min="6" max="6" width="15.953125" customWidth="1"/>
  </cols>
  <sheetData>
    <row r="1" spans="1:15">
      <c r="A1" t="s">
        <v>9</v>
      </c>
      <c r="B1" t="s">
        <v>15</v>
      </c>
      <c r="C1" t="s">
        <v>49</v>
      </c>
      <c r="D1" t="s">
        <v>50</v>
      </c>
      <c r="E1" t="s">
        <v>11</v>
      </c>
      <c r="F1" t="s">
        <v>52</v>
      </c>
    </row>
    <row r="2" spans="1:15" ht="14.75" customHeight="1">
      <c r="A2" t="s">
        <v>1</v>
      </c>
      <c r="B2">
        <v>0.15</v>
      </c>
      <c r="C2">
        <f>Returns!M2</f>
        <v>1.5533412831996798E-2</v>
      </c>
      <c r="D2">
        <f>B2*C2</f>
        <v>2.3300119247995194E-3</v>
      </c>
      <c r="E2">
        <f>Returns!N2</f>
        <v>3.4051552505559725E-2</v>
      </c>
      <c r="F2">
        <f>B2*E2</f>
        <v>5.1077328758339586E-3</v>
      </c>
      <c r="J2" s="7" t="s">
        <v>54</v>
      </c>
      <c r="K2" s="7"/>
      <c r="L2" s="7"/>
      <c r="M2" s="7"/>
      <c r="N2" s="7"/>
      <c r="O2" s="7"/>
    </row>
    <row r="3" spans="1:15">
      <c r="A3" t="s">
        <v>2</v>
      </c>
      <c r="B3">
        <v>0.14000000000000001</v>
      </c>
      <c r="C3">
        <f>Returns!M3</f>
        <v>1.9973903331278593E-2</v>
      </c>
      <c r="D3">
        <f t="shared" ref="D3:D9" si="0">B3*C3</f>
        <v>2.796346466379003E-3</v>
      </c>
      <c r="E3">
        <f>Returns!N3</f>
        <v>4.1330573793612095E-2</v>
      </c>
      <c r="F3">
        <f t="shared" ref="F3:F9" si="1">B3*E3</f>
        <v>5.7862803311056936E-3</v>
      </c>
      <c r="J3" s="7"/>
      <c r="K3" s="7"/>
      <c r="L3" s="7"/>
      <c r="M3" s="7"/>
      <c r="N3" s="7"/>
      <c r="O3" s="7"/>
    </row>
    <row r="4" spans="1:15">
      <c r="A4" t="s">
        <v>3</v>
      </c>
      <c r="B4">
        <v>0</v>
      </c>
      <c r="C4">
        <f>Returns!M4</f>
        <v>9.1398960163547906E-3</v>
      </c>
      <c r="D4">
        <f t="shared" si="0"/>
        <v>0</v>
      </c>
      <c r="E4">
        <f>Returns!N4</f>
        <v>5.6590919009595307E-2</v>
      </c>
      <c r="F4">
        <f t="shared" si="1"/>
        <v>0</v>
      </c>
      <c r="J4" s="7"/>
      <c r="K4" s="7"/>
      <c r="L4" s="7"/>
      <c r="M4" s="7"/>
      <c r="N4" s="7"/>
      <c r="O4" s="7"/>
    </row>
    <row r="5" spans="1:15">
      <c r="A5" t="s">
        <v>4</v>
      </c>
      <c r="B5">
        <v>0</v>
      </c>
      <c r="C5">
        <f>Returns!M5</f>
        <v>-4.4725751363786301E-3</v>
      </c>
      <c r="D5">
        <f t="shared" si="0"/>
        <v>0</v>
      </c>
      <c r="E5">
        <f>Returns!N5</f>
        <v>4.0650618725802425E-2</v>
      </c>
      <c r="F5">
        <f t="shared" si="1"/>
        <v>0</v>
      </c>
      <c r="J5" s="7"/>
      <c r="K5" s="7"/>
      <c r="L5" s="7"/>
      <c r="M5" s="7"/>
      <c r="N5" s="7"/>
      <c r="O5" s="7"/>
    </row>
    <row r="6" spans="1:15">
      <c r="A6" t="s">
        <v>5</v>
      </c>
      <c r="B6">
        <v>0.4</v>
      </c>
      <c r="C6">
        <f>Returns!M6</f>
        <v>3.8223440420273672E-4</v>
      </c>
      <c r="D6">
        <f t="shared" si="0"/>
        <v>1.5289376168109469E-4</v>
      </c>
      <c r="E6">
        <f>Returns!N6</f>
        <v>5.4280513791637956E-3</v>
      </c>
      <c r="F6">
        <f t="shared" si="1"/>
        <v>2.1712205516655181E-3</v>
      </c>
      <c r="J6" s="7"/>
      <c r="K6" s="7"/>
      <c r="L6" s="7"/>
      <c r="M6" s="7"/>
      <c r="N6" s="7"/>
      <c r="O6" s="7"/>
    </row>
    <row r="7" spans="1:15">
      <c r="A7" t="s">
        <v>6</v>
      </c>
      <c r="B7">
        <v>0.31</v>
      </c>
      <c r="C7">
        <f>Returns!M7</f>
        <v>2.2972144679122151E-2</v>
      </c>
      <c r="D7">
        <f t="shared" si="0"/>
        <v>7.1213648505278667E-3</v>
      </c>
      <c r="E7">
        <f>Returns!N7</f>
        <v>4.050047609089158E-2</v>
      </c>
      <c r="F7">
        <f t="shared" si="1"/>
        <v>1.255514758817639E-2</v>
      </c>
      <c r="J7" s="7"/>
      <c r="K7" s="7"/>
      <c r="L7" s="7"/>
      <c r="M7" s="7"/>
      <c r="N7" s="7"/>
      <c r="O7" s="7"/>
    </row>
    <row r="8" spans="1:15">
      <c r="A8" t="s">
        <v>7</v>
      </c>
      <c r="B8">
        <v>0</v>
      </c>
      <c r="C8">
        <f>Returns!M8</f>
        <v>8.8047362819223263E-3</v>
      </c>
      <c r="D8">
        <f t="shared" si="0"/>
        <v>0</v>
      </c>
      <c r="E8">
        <f>Returns!N8</f>
        <v>3.2258919913132122E-2</v>
      </c>
      <c r="F8">
        <f t="shared" si="1"/>
        <v>0</v>
      </c>
    </row>
    <row r="9" spans="1:15">
      <c r="A9" t="s">
        <v>8</v>
      </c>
      <c r="B9">
        <v>0</v>
      </c>
      <c r="C9">
        <f>Returns!M9</f>
        <v>8.8459481401847121E-3</v>
      </c>
      <c r="D9">
        <f t="shared" si="0"/>
        <v>0</v>
      </c>
      <c r="E9">
        <f>Returns!N9</f>
        <v>3.3638299697600578E-2</v>
      </c>
      <c r="F9">
        <f t="shared" si="1"/>
        <v>0</v>
      </c>
    </row>
    <row r="10" spans="1:15">
      <c r="B10">
        <f>SUM(B2:B9)</f>
        <v>1</v>
      </c>
      <c r="D10">
        <f>SUM(D2:D9)</f>
        <v>1.2400617003387484E-2</v>
      </c>
      <c r="F10">
        <f>SUM(F2:F9)</f>
        <v>2.5620381346781559E-2</v>
      </c>
    </row>
    <row r="11" spans="1:15">
      <c r="D11" t="s">
        <v>51</v>
      </c>
      <c r="F11" t="s">
        <v>53</v>
      </c>
    </row>
  </sheetData>
  <mergeCells count="1">
    <mergeCell ref="J2:O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Price</vt:lpstr>
      <vt:lpstr>Returns</vt:lpstr>
      <vt:lpstr>Model 1</vt:lpstr>
      <vt:lpstr>Model 2</vt:lpstr>
      <vt:lpstr>Model 3</vt:lpstr>
      <vt:lpstr>Model 4</vt:lpstr>
      <vt:lpstr>Model 5</vt:lpstr>
      <vt:lpstr>Blended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Jimenez</dc:creator>
  <cp:lastModifiedBy>Madison Jimenez</cp:lastModifiedBy>
  <dcterms:created xsi:type="dcterms:W3CDTF">2025-12-04T21:56:15Z</dcterms:created>
  <dcterms:modified xsi:type="dcterms:W3CDTF">2025-12-12T23:01:12Z</dcterms:modified>
</cp:coreProperties>
</file>